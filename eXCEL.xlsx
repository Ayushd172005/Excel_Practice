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5959DEE4-FAAE-7843-89BB-AF1819D73FF7}" xr6:coauthVersionLast="47" xr6:coauthVersionMax="47" xr10:uidLastSave="{00000000-0000-0000-0000-000000000000}"/>
  <bookViews>
    <workbookView xWindow="0" yWindow="520" windowWidth="25600" windowHeight="14000" activeTab="2" xr2:uid="{BFF67E27-97A4-2742-884B-996DB741DDCA}"/>
  </bookViews>
  <sheets>
    <sheet name="Sheet3" sheetId="3" r:id="rId1"/>
    <sheet name="Sheet8" sheetId="8" r:id="rId2"/>
    <sheet name="Sheet1" sheetId="1" r:id="rId3"/>
    <sheet name="Sheet2" sheetId="2" r:id="rId4"/>
  </sheets>
  <definedNames>
    <definedName name="_xlnm._FilterDatabase" localSheetId="2" hidden="1">Sheet1!$A$52:$AN$72</definedName>
    <definedName name="_xlchart.v5.0" hidden="1">Sheet1!$A$108:$A$118</definedName>
    <definedName name="_xlchart.v5.1" hidden="1">Sheet1!$A$119</definedName>
    <definedName name="_xlchart.v5.10" hidden="1">Sheet1!$B$120:$D$120</definedName>
    <definedName name="_xlchart.v5.11" hidden="1">Sheet1!$B$121:$D$121</definedName>
    <definedName name="_xlchart.v5.12" hidden="1">Sheet1!$B$122:$D$122</definedName>
    <definedName name="_xlchart.v5.13" hidden="1">Sheet1!$B$123:$D$123</definedName>
    <definedName name="_xlchart.v5.14" hidden="1">Sheet1!$B$124:$D$124</definedName>
    <definedName name="_xlchart.v5.15" hidden="1">Sheet1!$B$125:$D$125</definedName>
    <definedName name="_xlchart.v5.16" hidden="1">Sheet1!$A$108:$A$118</definedName>
    <definedName name="_xlchart.v5.17" hidden="1">Sheet1!$A$119</definedName>
    <definedName name="_xlchart.v5.18" hidden="1">Sheet1!$A$120</definedName>
    <definedName name="_xlchart.v5.19" hidden="1">Sheet1!$A$121</definedName>
    <definedName name="_xlchart.v5.2" hidden="1">Sheet1!$A$120</definedName>
    <definedName name="_xlchart.v5.20" hidden="1">Sheet1!$A$122</definedName>
    <definedName name="_xlchart.v5.21" hidden="1">Sheet1!$A$123</definedName>
    <definedName name="_xlchart.v5.22" hidden="1">Sheet1!$A$124</definedName>
    <definedName name="_xlchart.v5.23" hidden="1">Sheet1!$A$125</definedName>
    <definedName name="_xlchart.v5.24" hidden="1">Sheet1!$B$108:$D$118</definedName>
    <definedName name="_xlchart.v5.25" hidden="1">Sheet1!$B$119:$D$119</definedName>
    <definedName name="_xlchart.v5.26" hidden="1">Sheet1!$B$120:$D$120</definedName>
    <definedName name="_xlchart.v5.27" hidden="1">Sheet1!$B$121:$D$121</definedName>
    <definedName name="_xlchart.v5.28" hidden="1">Sheet1!$B$122:$D$122</definedName>
    <definedName name="_xlchart.v5.29" hidden="1">Sheet1!$B$123:$D$123</definedName>
    <definedName name="_xlchart.v5.3" hidden="1">Sheet1!$A$121</definedName>
    <definedName name="_xlchart.v5.30" hidden="1">Sheet1!$B$124:$D$124</definedName>
    <definedName name="_xlchart.v5.31" hidden="1">Sheet1!$B$125:$D$125</definedName>
    <definedName name="_xlchart.v5.32" hidden="1">Sheet1!$E$3</definedName>
    <definedName name="_xlchart.v5.33" hidden="1">Sheet1!$E$4:$E$15</definedName>
    <definedName name="_xlchart.v5.4" hidden="1">Sheet1!$A$122</definedName>
    <definedName name="_xlchart.v5.5" hidden="1">Sheet1!$A$123</definedName>
    <definedName name="_xlchart.v5.6" hidden="1">Sheet1!$A$124</definedName>
    <definedName name="_xlchart.v5.7" hidden="1">Sheet1!$A$125</definedName>
    <definedName name="_xlchart.v5.8" hidden="1">Sheet1!$B$108:$D$118</definedName>
    <definedName name="_xlchart.v5.9" hidden="1">Sheet1!$B$119:$D$119</definedName>
  </definedNames>
  <calcPr calcId="191029"/>
  <pivotCaches>
    <pivotCache cacheId="6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7" i="1" l="1"/>
  <c r="F127" i="1"/>
  <c r="C127" i="1"/>
  <c r="I126" i="1"/>
  <c r="F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E129" i="1" s="1"/>
  <c r="M109" i="1"/>
  <c r="M108" i="1"/>
  <c r="M126" i="1" s="1"/>
  <c r="Y75" i="1"/>
  <c r="N127" i="1" l="1"/>
  <c r="AC75" i="1"/>
  <c r="AL73" i="1"/>
  <c r="AH73" i="1"/>
  <c r="AD73" i="1"/>
  <c r="Z73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54" i="1"/>
  <c r="W73" i="1"/>
  <c r="AC72" i="1"/>
  <c r="Z72" i="1"/>
  <c r="E72" i="1"/>
  <c r="H72" i="1"/>
  <c r="F73" i="1"/>
  <c r="I129" i="1" l="1"/>
  <c r="R127" i="1"/>
  <c r="AG72" i="1"/>
  <c r="J7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C73" i="1"/>
  <c r="L72" i="1" l="1"/>
  <c r="N73" i="1"/>
  <c r="R73" i="1" s="1"/>
  <c r="H75" i="1"/>
  <c r="M75" i="1" s="1"/>
  <c r="L3" i="1"/>
  <c r="G17" i="1"/>
  <c r="G16" i="1"/>
  <c r="H16" i="1"/>
  <c r="J4" i="1"/>
  <c r="L4" i="1" s="1"/>
  <c r="I4" i="1"/>
  <c r="K4" i="1"/>
  <c r="I5" i="1"/>
  <c r="J5" i="1"/>
  <c r="L5" i="1" s="1"/>
  <c r="K5" i="1"/>
  <c r="I6" i="1"/>
  <c r="J6" i="1"/>
  <c r="L6" i="1" s="1"/>
  <c r="K6" i="1"/>
  <c r="I7" i="1"/>
  <c r="J7" i="1"/>
  <c r="L7" i="1" s="1"/>
  <c r="K7" i="1"/>
  <c r="I8" i="1"/>
  <c r="J8" i="1"/>
  <c r="L8" i="1" s="1"/>
  <c r="K8" i="1"/>
  <c r="I9" i="1"/>
  <c r="J9" i="1"/>
  <c r="L9" i="1" s="1"/>
  <c r="K9" i="1"/>
  <c r="I10" i="1"/>
  <c r="J10" i="1"/>
  <c r="L10" i="1" s="1"/>
  <c r="K10" i="1"/>
  <c r="I11" i="1"/>
  <c r="J11" i="1"/>
  <c r="L11" i="1" s="1"/>
  <c r="K11" i="1"/>
  <c r="I12" i="1"/>
  <c r="J12" i="1"/>
  <c r="L12" i="1" s="1"/>
  <c r="K12" i="1"/>
  <c r="I13" i="1"/>
  <c r="J13" i="1"/>
  <c r="L13" i="1" s="1"/>
  <c r="K13" i="1"/>
  <c r="I14" i="1"/>
  <c r="J14" i="1"/>
  <c r="L14" i="1" s="1"/>
  <c r="K14" i="1"/>
  <c r="I15" i="1"/>
  <c r="J15" i="1"/>
  <c r="L15" i="1" s="1"/>
  <c r="K15" i="1"/>
  <c r="AC4" i="1"/>
  <c r="AC5" i="1"/>
  <c r="AC6" i="1"/>
  <c r="AC7" i="1"/>
  <c r="AC8" i="1"/>
  <c r="AC9" i="1"/>
  <c r="AC10" i="1"/>
  <c r="AC11" i="1"/>
  <c r="AC12" i="1"/>
  <c r="AC13" i="1"/>
  <c r="AC14" i="1"/>
  <c r="AC3" i="1"/>
  <c r="AB4" i="1"/>
  <c r="AB5" i="1"/>
  <c r="AB6" i="1"/>
  <c r="AB7" i="1"/>
  <c r="AB8" i="1"/>
  <c r="AB9" i="1"/>
  <c r="AB10" i="1"/>
  <c r="AB11" i="1"/>
  <c r="AB12" i="1"/>
  <c r="AB13" i="1"/>
  <c r="AB14" i="1"/>
  <c r="AB3" i="1"/>
  <c r="P6" i="1"/>
  <c r="P7" i="1"/>
  <c r="P8" i="1"/>
  <c r="P9" i="1"/>
  <c r="P5" i="1"/>
  <c r="O6" i="1"/>
  <c r="O7" i="1"/>
  <c r="O8" i="1"/>
  <c r="O9" i="1"/>
  <c r="O5" i="1"/>
  <c r="N5" i="1"/>
  <c r="N7" i="1"/>
  <c r="N8" i="1"/>
  <c r="N9" i="1"/>
  <c r="N6" i="1"/>
  <c r="G18" i="1" l="1"/>
  <c r="I18" i="1"/>
  <c r="I17" i="1"/>
  <c r="K17" i="1"/>
  <c r="I16" i="1"/>
  <c r="J16" i="1"/>
  <c r="L17" i="1" s="1"/>
  <c r="M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tc={E95F26E8-B827-0B46-A832-A8E74495CF10}</author>
  </authors>
  <commentList>
    <comment ref="F12" authorId="0" shapeId="0" xr:uid="{E95F26E8-B827-0B46-A832-A8E74495CF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true
</t>
      </text>
    </comment>
  </commentList>
</comments>
</file>

<file path=xl/sharedStrings.xml><?xml version="1.0" encoding="utf-8"?>
<sst xmlns="http://schemas.openxmlformats.org/spreadsheetml/2006/main" count="294" uniqueCount="143">
  <si>
    <t>Sno</t>
  </si>
  <si>
    <t>First Nmae</t>
  </si>
  <si>
    <t>Last Name</t>
  </si>
  <si>
    <t>DOJ</t>
  </si>
  <si>
    <t>Sal-Jan</t>
  </si>
  <si>
    <t>Sal-Feb</t>
  </si>
  <si>
    <t>Sal-Mar</t>
  </si>
  <si>
    <t>Sal Total</t>
  </si>
  <si>
    <t>Avg Sal</t>
  </si>
  <si>
    <t>A</t>
  </si>
  <si>
    <t>B</t>
  </si>
  <si>
    <t>X</t>
  </si>
  <si>
    <t>Y</t>
  </si>
  <si>
    <t>Full Name</t>
  </si>
  <si>
    <t>c</t>
  </si>
  <si>
    <t>v</t>
  </si>
  <si>
    <t>k</t>
  </si>
  <si>
    <t>EMPLOYEE SALARY DESCRIPTION</t>
  </si>
  <si>
    <t xml:space="preserve">Ram has the highest salaery among all of them </t>
  </si>
  <si>
    <t xml:space="preserve">Rounding up of numbers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</si>
  <si>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</si>
  <si>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</si>
  <si>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</si>
  <si>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</si>
  <si>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</si>
  <si>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</si>
  <si>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</si>
  <si>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</si>
  <si>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</si>
  <si>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Monday</t>
  </si>
  <si>
    <t>Tuesday</t>
  </si>
  <si>
    <t>Wednesday</t>
  </si>
  <si>
    <t>Thursday</t>
  </si>
  <si>
    <t>Friday</t>
  </si>
  <si>
    <t>Saturday</t>
  </si>
  <si>
    <t>Sunday</t>
  </si>
  <si>
    <t>ghg</t>
  </si>
  <si>
    <t>hg</t>
  </si>
  <si>
    <t>hggh</t>
  </si>
  <si>
    <t xml:space="preserve"> </t>
  </si>
  <si>
    <t>Sheet1!A1</t>
  </si>
  <si>
    <t>Sheet1!B5</t>
  </si>
  <si>
    <t>Seperating huge words</t>
  </si>
  <si>
    <t>ram</t>
  </si>
  <si>
    <t>gmail.com</t>
  </si>
  <si>
    <t>sham</t>
  </si>
  <si>
    <t>Formulas learned== 1-Sum 2- Average 3- Concatenate. Then learned to change the font,colour,filter,sort,colouring scheme,Higlighting different values like duplicates and uniques,formating of the entire row/column,Rounding of digits(Round,RoundUp,RoundDown),Autofill Concept,Add or edit comment(Blue Mark),linkage,Seperating name from gmail,Charts from given data,VLOOKUP</t>
  </si>
  <si>
    <t>AVG salary</t>
  </si>
  <si>
    <t>A  X</t>
  </si>
  <si>
    <t>ghg  hg</t>
  </si>
  <si>
    <t>B  Y</t>
  </si>
  <si>
    <t>ghg  hggh</t>
  </si>
  <si>
    <t>c  v</t>
  </si>
  <si>
    <t>k  Y</t>
  </si>
  <si>
    <t>Column Labels</t>
  </si>
  <si>
    <t>Row Labels</t>
  </si>
  <si>
    <t>Grand Total</t>
  </si>
  <si>
    <t>(All)</t>
  </si>
  <si>
    <t>Column1</t>
  </si>
  <si>
    <t>Column2</t>
  </si>
  <si>
    <t>Column3</t>
  </si>
  <si>
    <t>Column4</t>
  </si>
  <si>
    <t>Column6</t>
  </si>
  <si>
    <t>Column7</t>
  </si>
  <si>
    <t>Column8</t>
  </si>
  <si>
    <t>Column9</t>
  </si>
  <si>
    <t>Column10</t>
  </si>
  <si>
    <t>Column11</t>
  </si>
  <si>
    <t>COUNT=</t>
  </si>
  <si>
    <t>COUNTING OF NAMES</t>
  </si>
  <si>
    <t>MIN-</t>
  </si>
  <si>
    <t>Max-</t>
  </si>
  <si>
    <t>Column12</t>
  </si>
  <si>
    <t>Gender</t>
  </si>
  <si>
    <t xml:space="preserve">M </t>
  </si>
  <si>
    <t>F</t>
  </si>
  <si>
    <t>doj</t>
  </si>
  <si>
    <t>Expence_Name</t>
  </si>
  <si>
    <t>Budget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</si>
  <si>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</si>
  <si>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</si>
  <si>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</si>
  <si>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</si>
  <si>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</si>
  <si>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</si>
  <si>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</si>
  <si>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</si>
  <si>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</si>
  <si>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</si>
  <si>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</si>
  <si>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</si>
  <si>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</si>
  <si>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</si>
  <si>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</si>
  <si>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</si>
  <si>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</si>
  <si>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</si>
  <si>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Good</t>
  </si>
  <si>
    <t>Total_Count:</t>
  </si>
  <si>
    <t>Total_Budget:</t>
  </si>
  <si>
    <t>Total_Cost:</t>
  </si>
  <si>
    <t>Bad</t>
  </si>
  <si>
    <t>Savings:</t>
  </si>
  <si>
    <t>Balance</t>
  </si>
  <si>
    <t>Remarks:</t>
  </si>
  <si>
    <t>Remarks</t>
  </si>
  <si>
    <t>Percentage of Budget used:</t>
  </si>
  <si>
    <t>Percentage Saved:</t>
  </si>
  <si>
    <t>Expence</t>
  </si>
  <si>
    <t>DASH_BOARD_1(Expence Tracker)</t>
  </si>
  <si>
    <t>DASH_BOARD-2(Sales Tracker)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</si>
  <si>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</si>
  <si>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</si>
  <si>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</si>
  <si>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</si>
  <si>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</si>
  <si>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</si>
  <si>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</si>
  <si>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</si>
  <si>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</si>
  <si>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</si>
  <si>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</si>
  <si>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</si>
  <si>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</si>
  <si>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</si>
  <si>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</si>
  <si>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</si>
  <si>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</si>
  <si>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</si>
  <si>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Product_Name</t>
  </si>
  <si>
    <t>Cost of Product</t>
  </si>
  <si>
    <t>Units_Sold</t>
  </si>
  <si>
    <t>MRP</t>
  </si>
  <si>
    <t>Profit/Loss</t>
  </si>
  <si>
    <t>OK</t>
  </si>
  <si>
    <t>Total_Units_Sold:</t>
  </si>
  <si>
    <t>Profit/Loss:</t>
  </si>
  <si>
    <t>Percentage of Profit:</t>
  </si>
  <si>
    <t>Most_Selling</t>
  </si>
  <si>
    <t>Max_Profit:</t>
  </si>
  <si>
    <t>DASH_BOARD-3(Country)</t>
  </si>
  <si>
    <t>India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</si>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</sst>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#,##0.00"/>
  </numFmts>
  <fonts count="1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8"/>
      <color theme="1"/>
      <name val="Aptos Narrow (Body)"/>
    </font>
    <font>
      <b/>
      <u/>
      <sz val="20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u/>
      <sz val="12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45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5" fillId="0" borderId="0" xfId="1"/>
    <xf numFmtId="0" fontId="6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7" fillId="0" borderId="0" xfId="0" applyFont="1"/>
    <xf numFmtId="2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/>
    <xf numFmtId="0" fontId="0" fillId="0" borderId="4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7" xfId="0" applyNumberFormat="1" applyBorder="1"/>
    <xf numFmtId="0" fontId="0" fillId="0" borderId="8" xfId="0" applyBorder="1"/>
    <xf numFmtId="0" fontId="0" fillId="0" borderId="2" xfId="0" applyBorder="1"/>
    <xf numFmtId="0" fontId="0" fillId="0" borderId="0" xfId="0" applyAlignment="1">
      <alignment horizontal="right" wrapText="1"/>
    </xf>
    <xf numFmtId="2" fontId="0" fillId="0" borderId="5" xfId="0" applyNumberFormat="1" applyBorder="1"/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8" fillId="10" borderId="1" xfId="0" applyFont="1" applyFill="1" applyBorder="1"/>
    <xf numFmtId="0" fontId="8" fillId="11" borderId="1" xfId="0" applyFont="1" applyFill="1" applyBorder="1"/>
    <xf numFmtId="0" fontId="8" fillId="12" borderId="1" xfId="0" applyFont="1" applyFill="1" applyBorder="1"/>
    <xf numFmtId="0" fontId="8" fillId="13" borderId="1" xfId="0" applyFont="1" applyFill="1" applyBorder="1" applyAlignment="1">
      <alignment horizontal="center"/>
    </xf>
    <xf numFmtId="2" fontId="0" fillId="0" borderId="4" xfId="0" applyNumberForma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9" fillId="2" borderId="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13" xfId="0" applyBorder="1"/>
    <xf numFmtId="165" fontId="11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10" fontId="11" fillId="5" borderId="1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wrapText="1"/>
    </xf>
    <xf numFmtId="10" fontId="11" fillId="8" borderId="1" xfId="0" applyNumberFormat="1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6" borderId="5" xfId="0" applyFont="1" applyFill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/>
    <xf numFmtId="0" fontId="11" fillId="0" borderId="1" xfId="0" applyFont="1" applyBorder="1"/>
    <xf numFmtId="0" fontId="11" fillId="3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/>
    <xf numFmtId="0" fontId="11" fillId="0" borderId="0" xfId="0" applyFont="1"/>
    <xf numFmtId="0" fontId="11" fillId="8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2" fontId="11" fillId="14" borderId="1" xfId="0" applyNumberFormat="1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165" fontId="11" fillId="15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5" fontId="11" fillId="4" borderId="1" xfId="0" applyNumberFormat="1" applyFont="1" applyFill="1" applyBorder="1" applyAlignment="1">
      <alignment horizontal="center"/>
    </xf>
    <xf numFmtId="165" fontId="11" fillId="14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22/11/relationships/FeaturePropertyBag" Target="featurePropertyBag/featurePropertyBag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[eXCEL.xlsx]Sheet8!PivotTable6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625632"/>
        <c:axId val="1928627344"/>
      </c:barChart>
      <c:catAx>
        <c:axId val="192862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27344"/>
        <c:crosses val="autoZero"/>
        <c:auto val="1"/>
        <c:lblAlgn val="ctr"/>
        <c:lblOffset val="100"/>
        <c:noMultiLvlLbl val="0"/>
      </c:catAx>
      <c:valAx>
        <c:axId val="19286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8379813397774"/>
          <c:y val="0.32342341620281662"/>
          <c:w val="0.87764129483814524"/>
          <c:h val="0.6153776611256925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00662349639505E-3"/>
                  <c:y val="-0.18059324557992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CD-EB4E-B3FA-410BDAD395AC}"/>
                </c:ext>
              </c:extLst>
            </c:dLbl>
            <c:dLbl>
              <c:idx val="1"/>
              <c:layout>
                <c:manualLayout>
                  <c:x val="-2.2011888793506367E-17"/>
                  <c:y val="-0.18059324557992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CD-EB4E-B3FA-410BDAD395AC}"/>
                </c:ext>
              </c:extLst>
            </c:dLbl>
            <c:dLbl>
              <c:idx val="2"/>
              <c:layout>
                <c:manualLayout>
                  <c:x val="0"/>
                  <c:y val="-0.197010813359918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CD-EB4E-B3FA-410BDAD395AC}"/>
                </c:ext>
              </c:extLst>
            </c:dLbl>
            <c:dLbl>
              <c:idx val="3"/>
              <c:layout>
                <c:manualLayout>
                  <c:x val="0"/>
                  <c:y val="-0.206861354027914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CD-EB4E-B3FA-410BDAD395AC}"/>
                </c:ext>
              </c:extLst>
            </c:dLbl>
            <c:dLbl>
              <c:idx val="4"/>
              <c:layout>
                <c:manualLayout>
                  <c:x val="-1.2006623496394941E-3"/>
                  <c:y val="-0.216711894695910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CD-EB4E-B3FA-410BDAD395AC}"/>
                </c:ext>
              </c:extLst>
            </c:dLbl>
            <c:dLbl>
              <c:idx val="5"/>
              <c:layout>
                <c:manualLayout>
                  <c:x val="-8.8047555174025469E-17"/>
                  <c:y val="-0.229845948919904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CD-EB4E-B3FA-410BDAD395AC}"/>
                </c:ext>
              </c:extLst>
            </c:dLbl>
            <c:dLbl>
              <c:idx val="6"/>
              <c:layout>
                <c:manualLayout>
                  <c:x val="1.2006623496394061E-3"/>
                  <c:y val="-0.23969648958790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CD-EB4E-B3FA-410BDAD395AC}"/>
                </c:ext>
              </c:extLst>
            </c:dLbl>
            <c:dLbl>
              <c:idx val="7"/>
              <c:layout>
                <c:manualLayout>
                  <c:x val="-8.8047555174025469E-17"/>
                  <c:y val="-0.25283054381189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CD-EB4E-B3FA-410BDAD395AC}"/>
                </c:ext>
              </c:extLst>
            </c:dLbl>
            <c:dLbl>
              <c:idx val="8"/>
              <c:layout>
                <c:manualLayout>
                  <c:x val="-1.2006623496394941E-3"/>
                  <c:y val="-0.262681084479891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CD-EB4E-B3FA-410BDAD395AC}"/>
                </c:ext>
              </c:extLst>
            </c:dLbl>
            <c:dLbl>
              <c:idx val="9"/>
              <c:layout>
                <c:manualLayout>
                  <c:x val="-3.6019870489184822E-3"/>
                  <c:y val="-0.26596459803589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CD-EB4E-B3FA-410BDAD395AC}"/>
                </c:ext>
              </c:extLst>
            </c:dLbl>
            <c:dLbl>
              <c:idx val="10"/>
              <c:layout>
                <c:manualLayout>
                  <c:x val="0"/>
                  <c:y val="-0.279098652259884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CD-EB4E-B3FA-410BDAD395AC}"/>
                </c:ext>
              </c:extLst>
            </c:dLbl>
            <c:dLbl>
              <c:idx val="11"/>
              <c:layout>
                <c:manualLayout>
                  <c:x val="-1.7609511034805094E-16"/>
                  <c:y val="-0.269248111591888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CD-EB4E-B3FA-410BDAD395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Sheet1!$J$4:$J$15</c:f>
              <c:numCache>
                <c:formatCode>0.00</c:formatCode>
                <c:ptCount val="12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3B0-1147-8180-F6228590736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3B0-1147-8180-F62285907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3807"/>
        <c:axId val="59189103"/>
      </c:barChart>
      <c:catAx>
        <c:axId val="5921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9103"/>
        <c:crosses val="autoZero"/>
        <c:auto val="1"/>
        <c:lblAlgn val="ctr"/>
        <c:lblOffset val="100"/>
        <c:noMultiLvlLbl val="0"/>
      </c:catAx>
      <c:valAx>
        <c:axId val="591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Avg Sal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Sheet1!$J$4:$J$15</c:f>
              <c:numCache>
                <c:formatCode>0.00</c:formatCode>
                <c:ptCount val="12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1545-94BB-5EF8A998DF50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Full Name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4-1545-94BB-5EF8A998D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93055"/>
        <c:axId val="55638959"/>
      </c:barChart>
      <c:catAx>
        <c:axId val="36519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959"/>
        <c:crosses val="autoZero"/>
        <c:auto val="1"/>
        <c:lblAlgn val="ctr"/>
        <c:lblOffset val="100"/>
        <c:noMultiLvlLbl val="0"/>
      </c:catAx>
      <c:valAx>
        <c:axId val="5563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9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Sheet1!$AB$2</c:f>
              <c:strCache>
                <c:ptCount val="1"/>
                <c:pt idx="0">
                  <c:v>Avg Sal</c:v>
                </c:pt>
              </c:strCache>
            </c:strRef>
          </c:tx>
          <c:explosion val="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EF-F747-9615-BB52863B392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EF-F747-9615-BB52863B392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EF-F747-9615-BB52863B392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EF-F747-9615-BB52863B392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EF-F747-9615-BB52863B3925}"/>
              </c:ext>
            </c:extLst>
          </c:dPt>
          <c:dPt>
            <c:idx val="5"/>
            <c:bubble3D val="0"/>
            <c:explosion val="112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196-4C43-A700-EEEE859EA22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EEF-F747-9615-BB52863B392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EEF-F747-9615-BB52863B392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EEF-F747-9615-BB52863B392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EEF-F747-9615-BB52863B392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EEF-F747-9615-BB52863B392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EEF-F747-9615-BB52863B3925}"/>
              </c:ext>
            </c:extLst>
          </c:dPt>
          <c:val>
            <c:numRef>
              <c:f>Sheet1!$AB$3:$AB$14</c:f>
              <c:numCache>
                <c:formatCode>0.00</c:formatCode>
                <c:ptCount val="12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6-4C43-A700-EEEE859EA224}"/>
            </c:ext>
          </c:extLst>
        </c:ser>
        <c:ser>
          <c:idx val="1"/>
          <c:order val="1"/>
          <c:tx>
            <c:strRef>
              <c:f>Sheet1!$AC$2</c:f>
              <c:strCache>
                <c:ptCount val="1"/>
                <c:pt idx="0">
                  <c:v>Full Name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EEF-F747-9615-BB52863B392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EEF-F747-9615-BB52863B392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EEF-F747-9615-BB52863B392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EEF-F747-9615-BB52863B392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EEF-F747-9615-BB52863B392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BEEF-F747-9615-BB52863B392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BEEF-F747-9615-BB52863B392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BEEF-F747-9615-BB52863B392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BEEF-F747-9615-BB52863B392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BEEF-F747-9615-BB52863B392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BEEF-F747-9615-BB52863B392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BEEF-F747-9615-BB52863B3925}"/>
              </c:ext>
            </c:extLst>
          </c:dPt>
          <c:val>
            <c:numRef>
              <c:f>Sheet1!$AC$3:$AC$14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6-4C43-A700-EEEE859EA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Budget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80927384076984E-2"/>
          <c:y val="0.1439122193059201"/>
          <c:w val="0.86497462817147852"/>
          <c:h val="0.5441965587634879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Sheet1!$E$52:$E$71</c:f>
              <c:numCache>
                <c:formatCode>General</c:formatCode>
                <c:ptCount val="20"/>
                <c:pt idx="0">
                  <c:v>0</c:v>
                </c:pt>
                <c:pt idx="2" formatCode="&quot;₹&quot;#,##0.00">
                  <c:v>1000</c:v>
                </c:pt>
                <c:pt idx="3" formatCode="&quot;₹&quot;#,##0.00">
                  <c:v>2000</c:v>
                </c:pt>
                <c:pt idx="4" formatCode="&quot;₹&quot;#,##0.00">
                  <c:v>3000</c:v>
                </c:pt>
                <c:pt idx="5" formatCode="&quot;₹&quot;#,##0.00">
                  <c:v>4000</c:v>
                </c:pt>
                <c:pt idx="6" formatCode="&quot;₹&quot;#,##0.00">
                  <c:v>5000</c:v>
                </c:pt>
                <c:pt idx="7" formatCode="&quot;₹&quot;#,##0.00">
                  <c:v>6000</c:v>
                </c:pt>
                <c:pt idx="8" formatCode="&quot;₹&quot;#,##0.00">
                  <c:v>7000</c:v>
                </c:pt>
                <c:pt idx="9" formatCode="&quot;₹&quot;#,##0.00">
                  <c:v>8000</c:v>
                </c:pt>
                <c:pt idx="10" formatCode="&quot;₹&quot;#,##0.00">
                  <c:v>9000</c:v>
                </c:pt>
                <c:pt idx="11" formatCode="&quot;₹&quot;#,##0.00">
                  <c:v>10000</c:v>
                </c:pt>
                <c:pt idx="12" formatCode="&quot;₹&quot;#,##0.00">
                  <c:v>11000</c:v>
                </c:pt>
                <c:pt idx="13" formatCode="&quot;₹&quot;#,##0.00">
                  <c:v>12000</c:v>
                </c:pt>
                <c:pt idx="14" formatCode="&quot;₹&quot;#,##0.00">
                  <c:v>13000</c:v>
                </c:pt>
                <c:pt idx="15" formatCode="&quot;₹&quot;#,##0.00">
                  <c:v>14000</c:v>
                </c:pt>
                <c:pt idx="16" formatCode="&quot;₹&quot;#,##0.00">
                  <c:v>15000</c:v>
                </c:pt>
                <c:pt idx="17" formatCode="&quot;₹&quot;#,##0.00">
                  <c:v>16000</c:v>
                </c:pt>
                <c:pt idx="18" formatCode="&quot;₹&quot;#,##0.00">
                  <c:v>17000</c:v>
                </c:pt>
                <c:pt idx="19" formatCode="&quot;₹&quot;#,##0.00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1-7A48-B348-21C43FF8BD53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Sheet1!$F$52:$F$71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1-7A48-B348-21C43FF8BD53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Sheet1!$G$52:$G$71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1-7A48-B348-21C43FF8BD53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Sheet1!$H$52:$H$71</c:f>
              <c:numCache>
                <c:formatCode>General</c:formatCode>
                <c:ptCount val="20"/>
                <c:pt idx="0">
                  <c:v>0</c:v>
                </c:pt>
                <c:pt idx="2" formatCode="&quot;₹&quot;#,##0.00">
                  <c:v>1200</c:v>
                </c:pt>
                <c:pt idx="3" formatCode="&quot;₹&quot;#,##0.00">
                  <c:v>1300</c:v>
                </c:pt>
                <c:pt idx="4" formatCode="&quot;₹&quot;#,##0.00">
                  <c:v>1400</c:v>
                </c:pt>
                <c:pt idx="5" formatCode="&quot;₹&quot;#,##0.00">
                  <c:v>1500</c:v>
                </c:pt>
                <c:pt idx="6" formatCode="&quot;₹&quot;#,##0.00">
                  <c:v>1600</c:v>
                </c:pt>
                <c:pt idx="7" formatCode="&quot;₹&quot;#,##0.00">
                  <c:v>1700</c:v>
                </c:pt>
                <c:pt idx="8" formatCode="&quot;₹&quot;#,##0.00">
                  <c:v>1800</c:v>
                </c:pt>
                <c:pt idx="9" formatCode="&quot;₹&quot;#,##0.00">
                  <c:v>1900</c:v>
                </c:pt>
                <c:pt idx="10" formatCode="&quot;₹&quot;#,##0.00">
                  <c:v>2000</c:v>
                </c:pt>
                <c:pt idx="11" formatCode="&quot;₹&quot;#,##0.00">
                  <c:v>22100</c:v>
                </c:pt>
                <c:pt idx="12" formatCode="&quot;₹&quot;#,##0.00">
                  <c:v>2200</c:v>
                </c:pt>
                <c:pt idx="13" formatCode="&quot;₹&quot;#,##0.00">
                  <c:v>22300</c:v>
                </c:pt>
                <c:pt idx="14" formatCode="&quot;₹&quot;#,##0.00">
                  <c:v>22400</c:v>
                </c:pt>
                <c:pt idx="15" formatCode="&quot;₹&quot;#,##0.00">
                  <c:v>2500</c:v>
                </c:pt>
                <c:pt idx="16" formatCode="&quot;₹&quot;#,##0.00">
                  <c:v>2600</c:v>
                </c:pt>
                <c:pt idx="17" formatCode="&quot;₹&quot;#,##0.00">
                  <c:v>22700</c:v>
                </c:pt>
                <c:pt idx="18" formatCode="&quot;₹&quot;#,##0.00">
                  <c:v>2800</c:v>
                </c:pt>
                <c:pt idx="19" formatCode="&quot;₹&quot;#,##0.00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1-7A48-B348-21C43FF8BD53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Sheet1!$I$52:$I$71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1-7A48-B348-21C43FF8BD53}"/>
            </c:ext>
          </c:extLst>
        </c:ser>
        <c:ser>
          <c:idx val="5"/>
          <c:order val="5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Sheet1!$J$52:$J$71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01-7A48-B348-21C43FF8BD53}"/>
            </c:ext>
          </c:extLst>
        </c:ser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Sheet1!$K$52:$K$71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01-7A48-B348-21C43FF8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0912"/>
        <c:axId val="293715744"/>
      </c:lineChart>
      <c:catAx>
        <c:axId val="273510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5744"/>
        <c:crosses val="autoZero"/>
        <c:auto val="1"/>
        <c:lblAlgn val="ctr"/>
        <c:lblOffset val="100"/>
        <c:noMultiLvlLbl val="0"/>
      </c:catAx>
      <c:valAx>
        <c:axId val="293715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1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1">
                    <a:lumMod val="50000"/>
                  </a:schemeClr>
                </a:solidFill>
              </a:rPr>
              <a:t>Budget</a:t>
            </a:r>
            <a:r>
              <a:rPr lang="en-GB" baseline="0">
                <a:solidFill>
                  <a:schemeClr val="accent1">
                    <a:lumMod val="50000"/>
                  </a:schemeClr>
                </a:solidFill>
              </a:rPr>
              <a:t> </a:t>
            </a:r>
            <a:r>
              <a:rPr lang="en-GB" baseline="0">
                <a:solidFill>
                  <a:srgbClr val="FF0000"/>
                </a:solidFill>
              </a:rPr>
              <a:t>vs</a:t>
            </a:r>
            <a:r>
              <a:rPr lang="en-GB" baseline="0">
                <a:solidFill>
                  <a:schemeClr val="accent1">
                    <a:lumMod val="50000"/>
                  </a:schemeClr>
                </a:solidFill>
              </a:rPr>
              <a:t> </a:t>
            </a:r>
            <a:r>
              <a:rPr lang="en-GB" baseline="0">
                <a:solidFill>
                  <a:srgbClr val="FFC000"/>
                </a:solidFill>
              </a:rPr>
              <a:t>Cost</a:t>
            </a:r>
            <a:endParaRPr lang="en-GB">
              <a:solidFill>
                <a:srgbClr val="FFC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j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5B-4045-B791-49613F2D16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5B-4045-B791-49613F2D161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(Sheet1!$F$73,Sheet1!$J$73)</c:f>
              <c:numCache>
                <c:formatCode>"₹"#,##0.00</c:formatCode>
                <c:ptCount val="2"/>
                <c:pt idx="0">
                  <c:v>171000</c:v>
                </c:pt>
                <c:pt idx="1">
                  <c:v>116900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7-B442-86DA-C071B93570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2559265516911597"/>
          <c:y val="0.41131089209481253"/>
          <c:w val="0.27278791163250343"/>
          <c:h val="0.2906105373944720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Sheet1!$AB$73</c:f>
              <c:strCache>
                <c:ptCount val="1"/>
                <c:pt idx="0">
                  <c:v>Total_Cost: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57-0347-A2BC-954BB0999B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57-0347-A2BC-954BB0999B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57-0347-A2BC-954BB0999B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57-0347-A2BC-954BB0999B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57-0347-A2BC-954BB0999B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57-0347-A2BC-954BB0999B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57-0347-A2BC-954BB0999BA1}"/>
              </c:ext>
            </c:extLst>
          </c:dPt>
          <c:val>
            <c:numRef>
              <c:f>Sheet1!$AC$73:$AI$73</c:f>
              <c:numCache>
                <c:formatCode>"₹"#,##0.00</c:formatCode>
                <c:ptCount val="7"/>
                <c:pt idx="1">
                  <c:v>171000</c:v>
                </c:pt>
                <c:pt idx="3" formatCode="General">
                  <c:v>0</c:v>
                </c:pt>
                <c:pt idx="5">
                  <c:v>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F-0547-86BA-F10CD8630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Sheet1!$AB$74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2857-0347-A2BC-954BB0999B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2857-0347-A2BC-954BB0999BA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2857-0347-A2BC-954BB0999BA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2857-0347-A2BC-954BB0999BA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2857-0347-A2BC-954BB0999BA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2857-0347-A2BC-954BB0999BA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2857-0347-A2BC-954BB0999BA1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Sheet1!$AC$74:$AI$74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AFF-0547-86BA-F10CD8630ED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35870516185478"/>
          <c:y val="0.19483814523184603"/>
          <c:w val="0.78230796150481186"/>
          <c:h val="0.72128098571011956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Sheet1!$AC$52</c:f>
              <c:strCache>
                <c:ptCount val="1"/>
                <c:pt idx="0">
                  <c:v>MRP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Sheet1!$Z$53:$Z$71</c:f>
              <c:numCache>
                <c:formatCode>"₹"#,##0.00</c:formatCode>
                <c:ptCount val="19"/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</c:numCache>
            </c:numRef>
          </c:cat>
          <c:val>
            <c:numRef>
              <c:f>Sheet1!$AC$53:$AC$71</c:f>
              <c:numCache>
                <c:formatCode>"₹"#,##0.00</c:formatCode>
                <c:ptCount val="19"/>
                <c:pt idx="1">
                  <c:v>1000</c:v>
                </c:pt>
                <c:pt idx="2">
                  <c:v>2200</c:v>
                </c:pt>
                <c:pt idx="3">
                  <c:v>3200</c:v>
                </c:pt>
                <c:pt idx="4">
                  <c:v>4200</c:v>
                </c:pt>
                <c:pt idx="5">
                  <c:v>5200</c:v>
                </c:pt>
                <c:pt idx="6">
                  <c:v>6200</c:v>
                </c:pt>
                <c:pt idx="7">
                  <c:v>8000</c:v>
                </c:pt>
                <c:pt idx="8">
                  <c:v>8200</c:v>
                </c:pt>
                <c:pt idx="9">
                  <c:v>10000</c:v>
                </c:pt>
                <c:pt idx="10">
                  <c:v>10200</c:v>
                </c:pt>
                <c:pt idx="11">
                  <c:v>11200</c:v>
                </c:pt>
                <c:pt idx="12">
                  <c:v>20000</c:v>
                </c:pt>
                <c:pt idx="13">
                  <c:v>13200</c:v>
                </c:pt>
                <c:pt idx="14">
                  <c:v>23000</c:v>
                </c:pt>
                <c:pt idx="15">
                  <c:v>15200</c:v>
                </c:pt>
                <c:pt idx="16">
                  <c:v>16200</c:v>
                </c:pt>
                <c:pt idx="17">
                  <c:v>17200</c:v>
                </c:pt>
                <c:pt idx="18">
                  <c:v>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D-ED46-916A-19A11F8D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86080"/>
        <c:axId val="141474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Sheet1!$AA$52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Sheet1!$AA$53:$AA$71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D1D-ED46-916A-19A11F8DA36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Sheet1!$AB$52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Sheet1!$AB$53:$AB$71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D1D-ED46-916A-19A11F8DA36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Sheet1!$AD$52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Sheet1!$AD$53:$AD$71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1D-ED46-916A-19A11F8DA36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Sheet1!$AE$52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Sheet1!$AE$53:$AE$71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D1D-ED46-916A-19A11F8DA36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Sheet1!$AF$52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Sheet1!$AF$53:$AF$71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1D-ED46-916A-19A11F8DA363}"/>
                  </c:ext>
                </c:extLst>
              </c15:ser>
            </c15:filteredBarSeries>
          </c:ext>
        </c:extLst>
      </c:barChart>
      <c:catAx>
        <c:axId val="19258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4784"/>
        <c:crosses val="autoZero"/>
        <c:auto val="1"/>
        <c:lblAlgn val="ctr"/>
        <c:lblOffset val="100"/>
        <c:noMultiLvlLbl val="0"/>
      </c:catAx>
      <c:valAx>
        <c:axId val="14147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AC213-9FE8-355B-409A-A86EB5DEE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633540</xdr:colOff>
      <xdr:row>22</xdr:row>
      <xdr:rowOff>146560</xdr:rowOff>
    </xdr:from>
    <xdr:to>
      <xdr:col>21</xdr:col>
      <xdr:colOff>364943</xdr:colOff>
      <xdr:row>41</xdr:row>
      <xdr:rowOff>131380</xdr:rowOff>
    </xdr:to>
    <xdr:graphicFrame macro="[0]!Chart1_Click">
      <xdr:nvGraphicFramePr>
        <xdr:cNvPr id="2" name="Chart 1">
          <a:extLst>
            <a:ext uri="{FF2B5EF4-FFF2-40B4-BE49-F238E27FC236}">
              <a16:creationId xmlns:a16="http://schemas.microsoft.com/office/drawing/2014/main" id="{613D8A3A-F46E-0061-2E98-8DC134741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348886</xdr:colOff>
      <xdr:row>23</xdr:row>
      <xdr:rowOff>131379</xdr:rowOff>
    </xdr:from>
    <xdr:to>
      <xdr:col>9</xdr:col>
      <xdr:colOff>58391</xdr:colOff>
      <xdr:row>42</xdr:row>
      <xdr:rowOff>87586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0557F9-BCA4-086B-5602-4292C331F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122620</xdr:colOff>
      <xdr:row>15</xdr:row>
      <xdr:rowOff>117365</xdr:rowOff>
    </xdr:from>
    <xdr:to>
      <xdr:col>29</xdr:col>
      <xdr:colOff>534276</xdr:colOff>
      <xdr:row>30</xdr:row>
      <xdr:rowOff>174588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9F5D42-CCC3-18BC-5857-8CC1E9F87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793750</xdr:colOff>
      <xdr:row>77</xdr:row>
      <xdr:rowOff>78316</xdr:rowOff>
    </xdr:from>
    <xdr:to>
      <xdr:col>9</xdr:col>
      <xdr:colOff>423333</xdr:colOff>
      <xdr:row>93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061AE1-7322-94EE-81DB-0AA4EE7C1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645583</xdr:colOff>
      <xdr:row>77</xdr:row>
      <xdr:rowOff>43038</xdr:rowOff>
    </xdr:from>
    <xdr:to>
      <xdr:col>19</xdr:col>
      <xdr:colOff>7055</xdr:colOff>
      <xdr:row>94</xdr:row>
      <xdr:rowOff>155222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5CA261-CCFB-6B54-C8A3-3DF31FDB2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802410</xdr:colOff>
      <xdr:row>76</xdr:row>
      <xdr:rowOff>158172</xdr:rowOff>
    </xdr:from>
    <xdr:to>
      <xdr:col>27</xdr:col>
      <xdr:colOff>750455</xdr:colOff>
      <xdr:row>95</xdr:row>
      <xdr:rowOff>86591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632CF7-4AFA-984E-74B8-FED4F147F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51953</xdr:colOff>
      <xdr:row>76</xdr:row>
      <xdr:rowOff>187034</xdr:rowOff>
    </xdr:from>
    <xdr:to>
      <xdr:col>39</xdr:col>
      <xdr:colOff>634999</xdr:colOff>
      <xdr:row>95</xdr:row>
      <xdr:rowOff>57726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ECB44C-99D3-C9C0-0980-13742B93F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[BTECH-036-2023-24] DUDHAT AYUSH HITESHKUMAR" id="{4345F8DC-E150-A44A-89C2-0D4EAC6036D5}" userId="S::DUDHAT.23FE10CDS00293@muj.manipal.edu::4535b5e5-ff2f-49c3-bae2-03934c4be39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6229.788862152775" createdVersion="8" refreshedVersion="8" minRefreshableVersion="3" recordCount="12" xr:uid="{1E6120FD-99F1-3C46-9449-0A4C2058F4E5}">
  <cacheSource type="worksheet">
    <worksheetSource ref="AB2:AC14" sheet="Sheet1"/>
  </cacheSource>
  <cacheFields count="2">
    <cacheField name="Avg Sal" numFmtId="2">
      <sharedItems containsSemiMixedTypes="0" containsString="0" containsNumber="1" containsInteger="1" minValue="1500" maxValue="2600" count="12">
        <n v="1500"/>
        <n v="1600"/>
        <n v="1700"/>
        <n v="1800"/>
        <n v="1900"/>
        <n v="2000"/>
        <n v="2100"/>
        <n v="2200"/>
        <n v="2300"/>
        <n v="2400"/>
        <n v="2500"/>
        <n v="2600"/>
      </sharedItems>
    </cacheField>
    <cacheField name="Full Name" numFmtId="0">
      <sharedItems count="6">
        <s v="A  X"/>
        <s v="ghg  hg"/>
        <s v="B  Y"/>
        <s v="ghg  hggh"/>
        <s v="c  v"/>
        <s v="k  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6229.792521412041" createdVersion="8" refreshedVersion="8" minRefreshableVersion="3" recordCount="13" xr:uid="{D8302F20-2414-AC4D-A193-83A60C41FF56}">
  <cacheSource type="worksheet">
    <worksheetSource name="Table1"/>
  </cacheSource>
  <cacheFields count="11">
    <cacheField name="Column1" numFmtId="0">
      <sharedItems containsMixedTypes="1" containsNumber="1" containsInteger="1" minValue="1" maxValue="12"/>
    </cacheField>
    <cacheField name="Column2" numFmtId="0">
      <sharedItems count="6">
        <s v="First Nmae"/>
        <s v="A"/>
        <s v="ghg"/>
        <s v="B"/>
        <s v="c"/>
        <s v="k"/>
      </sharedItems>
    </cacheField>
    <cacheField name="Column3" numFmtId="0">
      <sharedItems/>
    </cacheField>
    <cacheField name="Column4" numFmtId="0">
      <sharedItems containsNonDate="0" containsString="0" containsBlank="1"/>
    </cacheField>
    <cacheField name="Column5" numFmtId="0">
      <sharedItems containsDate="1" containsMixedTypes="1" minDate="1900-01-22T00:00:00" maxDate="1900-02-03T00:00:00"/>
    </cacheField>
    <cacheField name="Column6" numFmtId="0">
      <sharedItems containsMixedTypes="1" containsNumber="1" containsInteger="1" minValue="1500" maxValue="2600"/>
    </cacheField>
    <cacheField name="Column7" numFmtId="0">
      <sharedItems containsMixedTypes="1" containsNumber="1" containsInteger="1" minValue="1500" maxValue="2600"/>
    </cacheField>
    <cacheField name="Column8" numFmtId="0">
      <sharedItems containsMixedTypes="1" containsNumber="1" containsInteger="1" minValue="1500" maxValue="2600"/>
    </cacheField>
    <cacheField name="Column9" numFmtId="0">
      <sharedItems containsMixedTypes="1" containsNumber="1" containsInteger="1" minValue="4500" maxValue="7800"/>
    </cacheField>
    <cacheField name="Column10" numFmtId="0">
      <sharedItems containsMixedTypes="1" containsNumber="1" containsInteger="1" minValue="1500" maxValue="2600"/>
    </cacheField>
    <cacheField name="Column1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</r>
  <r>
    <x v="1"/>
    <x v="1"/>
  </r>
  <r>
    <x v="2"/>
    <x v="0"/>
  </r>
  <r>
    <x v="3"/>
    <x v="2"/>
  </r>
  <r>
    <x v="4"/>
    <x v="3"/>
  </r>
  <r>
    <x v="5"/>
    <x v="4"/>
  </r>
  <r>
    <x v="6"/>
    <x v="0"/>
  </r>
  <r>
    <x v="7"/>
    <x v="5"/>
  </r>
  <r>
    <x v="8"/>
    <x v="0"/>
  </r>
  <r>
    <x v="9"/>
    <x v="2"/>
  </r>
  <r>
    <x v="10"/>
    <x v="0"/>
  </r>
  <r>
    <x v="1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no"/>
    <x v="0"/>
    <s v="Last Name"/>
    <m/>
    <s v="DOJ"/>
    <s v="Sal-Jan"/>
    <s v="Sal-Feb"/>
    <s v="Sal-Mar"/>
    <s v="Sal Total"/>
    <s v="Avg Sal"/>
    <s v="Full Name"/>
  </r>
  <r>
    <n v="1"/>
    <x v="1"/>
    <s v="X"/>
    <m/>
    <d v="1900-01-22T00:00:00"/>
    <n v="1500"/>
    <n v="1500"/>
    <n v="1500"/>
    <n v="4500"/>
    <n v="1500"/>
    <s v="A  X"/>
  </r>
  <r>
    <n v="2"/>
    <x v="2"/>
    <s v="hg"/>
    <m/>
    <d v="1900-01-23T00:00:00"/>
    <n v="1600"/>
    <n v="1600"/>
    <n v="1600"/>
    <n v="4800"/>
    <n v="1600"/>
    <s v="ghg  hg"/>
  </r>
  <r>
    <n v="3"/>
    <x v="1"/>
    <s v="X"/>
    <m/>
    <d v="1900-01-24T00:00:00"/>
    <n v="1700"/>
    <n v="1700"/>
    <n v="1700"/>
    <n v="5100"/>
    <n v="1700"/>
    <s v="A  X"/>
  </r>
  <r>
    <n v="4"/>
    <x v="3"/>
    <s v="Y"/>
    <m/>
    <d v="1900-01-25T00:00:00"/>
    <n v="1800"/>
    <n v="1800"/>
    <n v="1800"/>
    <n v="5400"/>
    <n v="1800"/>
    <s v="B  Y"/>
  </r>
  <r>
    <n v="5"/>
    <x v="2"/>
    <s v="hggh"/>
    <m/>
    <d v="1900-01-26T00:00:00"/>
    <n v="1900"/>
    <n v="1900"/>
    <n v="1900"/>
    <n v="5700"/>
    <n v="1900"/>
    <s v="ghg  hggh"/>
  </r>
  <r>
    <n v="6"/>
    <x v="4"/>
    <s v="v"/>
    <m/>
    <d v="1900-01-27T00:00:00"/>
    <n v="2000"/>
    <n v="2000"/>
    <n v="2000"/>
    <n v="6000"/>
    <n v="2000"/>
    <s v="c  v"/>
  </r>
  <r>
    <n v="7"/>
    <x v="1"/>
    <s v="X"/>
    <m/>
    <d v="1900-01-28T00:00:00"/>
    <n v="2100"/>
    <n v="2100"/>
    <n v="2100"/>
    <n v="6300"/>
    <n v="2100"/>
    <s v="A  X"/>
  </r>
  <r>
    <n v="8"/>
    <x v="5"/>
    <s v="Y"/>
    <m/>
    <d v="1900-01-29T00:00:00"/>
    <n v="2200"/>
    <n v="2200"/>
    <n v="2200"/>
    <n v="6600"/>
    <n v="2200"/>
    <s v="k  Y"/>
  </r>
  <r>
    <n v="9"/>
    <x v="1"/>
    <s v="X"/>
    <m/>
    <d v="1900-01-30T00:00:00"/>
    <n v="2300"/>
    <n v="2300"/>
    <n v="2300"/>
    <n v="6900"/>
    <n v="2300"/>
    <s v="A  X"/>
  </r>
  <r>
    <n v="10"/>
    <x v="3"/>
    <s v="Y"/>
    <m/>
    <d v="1900-01-31T00:00:00"/>
    <n v="2400"/>
    <n v="2400"/>
    <n v="2400"/>
    <n v="7200"/>
    <n v="2400"/>
    <s v="B  Y"/>
  </r>
  <r>
    <n v="11"/>
    <x v="1"/>
    <s v="X"/>
    <m/>
    <d v="1900-02-01T00:00:00"/>
    <n v="2500"/>
    <n v="2500"/>
    <n v="2500"/>
    <n v="7500"/>
    <n v="2500"/>
    <s v="A  X"/>
  </r>
  <r>
    <n v="12"/>
    <x v="3"/>
    <s v="Y"/>
    <m/>
    <d v="1900-02-02T00:00:00"/>
    <n v="2600"/>
    <n v="2600"/>
    <n v="2600"/>
    <n v="7800"/>
    <n v="2600"/>
    <s v="B  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A6F72-851F-AE4F-BD1A-ECCEC263B23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7" firstHeaderRow="1" firstDataRow="2" firstDataCol="1"/>
  <pivotFields count="2">
    <pivotField axis="axisRow"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x="0"/>
        <item x="2"/>
        <item x="4"/>
        <item x="1"/>
        <item x="3"/>
        <item x="5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8B321-F2D6-4B43-A0B4-46F838A82FEF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" firstHeaderRow="0" firstDataRow="0" firstDataCol="0" rowPageCount="1" colPageCount="1"/>
  <pivotFields count="11">
    <pivotField showAll="0"/>
    <pivotField axis="axisPage" showAll="0">
      <items count="7">
        <item x="1"/>
        <item x="3"/>
        <item x="4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0AB8F-5E94-8141-9A15-A5C03CA2EEB0}" name="Table1" displayName="Table1" ref="A2:L15" totalsRowShown="0" headerRowBorderDxfId="52" tableBorderDxfId="51" totalsRowBorderDxfId="50">
  <autoFilter ref="A2:L15" xr:uid="{4890AB8F-5E94-8141-9A15-A5C03CA2EEB0}"/>
  <tableColumns count="12">
    <tableColumn id="1" xr3:uid="{83FAB420-09E3-4946-A54F-7BEB37205C54}" name="Column1" dataDxfId="49"/>
    <tableColumn id="2" xr3:uid="{9525A124-35F8-CE47-B091-51D4F1F7BE37}" name="Column2" dataDxfId="48"/>
    <tableColumn id="3" xr3:uid="{30657457-B4E0-D84A-8FC4-728FE95F70A0}" name="Column3" dataDxfId="47"/>
    <tableColumn id="4" xr3:uid="{8B82043D-8611-2C44-AFE7-009A93D6FED9}" name="Column4" dataDxfId="46"/>
    <tableColumn id="5" xr3:uid="{70F5AED1-9DFC-EB49-ADA0-35FF2152CE0A}" name="doj" dataDxfId="45"/>
    <tableColumn id="6" xr3:uid="{538AD498-8499-4543-B773-A1000636000E}" name="Column6" dataDxfId="44"/>
    <tableColumn id="7" xr3:uid="{5240A1DB-DFDE-F640-9A4C-49D03B35AB86}" name="Column7" dataDxfId="43"/>
    <tableColumn id="8" xr3:uid="{0166B8A7-22CA-6344-94FC-B2CC5926BB84}" name="Column8" dataDxfId="42"/>
    <tableColumn id="9" xr3:uid="{329BE943-F433-8F48-90E3-1C53E049088B}" name="Column9" dataDxfId="41">
      <calculatedColumnFormula>SUM(F3+G3+H3)</calculatedColumnFormula>
    </tableColumn>
    <tableColumn id="10" xr3:uid="{C1CB1439-25DA-784F-BD26-296D7ACBF756}" name="Column10" dataDxfId="40">
      <calculatedColumnFormula>AVERAGE(F3:H3)</calculatedColumnFormula>
    </tableColumn>
    <tableColumn id="11" xr3:uid="{EB12A6BE-3C5A-3440-AE13-4066A2489121}" name="Column11" dataDxfId="39">
      <calculatedColumnFormula>CONCATENATE(B3,"  ",C3)</calculatedColumnFormula>
    </tableColumn>
    <tableColumn id="12" xr3:uid="{E4BDC5FC-D539-C341-9C86-C64B7529797A}" name="Column12" dataDxfId="38">
      <calculatedColumnFormula>IF(Table1[[#This Row],[Column10]]&gt;1800,"Good","Bad")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373F5-B37C-114C-8AD1-9DDD8FCB68A0}" name="Table3" displayName="Table3" ref="R3:S12" totalsRowShown="0">
  <autoFilter ref="R3:S12" xr:uid="{12C373F5-B37C-114C-8AD1-9DDD8FCB68A0}"/>
  <tableColumns count="2">
    <tableColumn id="1" xr3:uid="{2663761A-4D13-3147-AC18-434B7D24A41D}" name="Column1"/>
    <tableColumn id="2" xr3:uid="{F13877FD-E2DB-9747-ACAE-BE0D0DEFBD96}" name="Column2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095469-CACB-9E42-8D61-93231A304ABC}" name="Table4" displayName="Table4" ref="U4:V12" totalsRowShown="0">
  <autoFilter ref="U4:V12" xr:uid="{8D095469-CACB-9E42-8D61-93231A304ABC}"/>
  <tableColumns count="2">
    <tableColumn id="1" xr3:uid="{870B5AFE-C976-E443-A7A5-0E35921AB791}" name="Column1"/>
    <tableColumn id="2" xr3:uid="{6FBD23C5-5218-BB47-BAF6-798C1D853532}" name="Column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567F3B-4F17-E14B-99AB-98197F28EF0D}" name="Table5" displayName="Table5" ref="M4:P9" totalsRowShown="0" tableBorderDxfId="37">
  <autoFilter ref="M4:P9" xr:uid="{BE567F3B-4F17-E14B-99AB-98197F28EF0D}"/>
  <tableColumns count="4">
    <tableColumn id="1" xr3:uid="{2E8124BF-9EED-0049-9B4E-570F10E09411}" name="Column1"/>
    <tableColumn id="2" xr3:uid="{C7E797B1-61EB-9947-906E-1E08B17CDF72}" name="Column2">
      <calculatedColumnFormula>ROUND(M5,0)</calculatedColumnFormula>
    </tableColumn>
    <tableColumn id="3" xr3:uid="{D016D1F3-418A-D04A-A94D-0A33AB19F4BC}" name="Column3">
      <calculatedColumnFormula>ROUNDUP(M5,0)</calculatedColumnFormula>
    </tableColumn>
    <tableColumn id="4" xr3:uid="{5BAB51DE-97D6-F547-8942-1C58D61F891A}" name="Column4">
      <calculatedColumnFormula>+ROUNDDOWN(M5,0)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6-07-26T06:16:07.28" personId="{4345F8DC-E150-A44A-89C2-0D4EAC6036D5}" id="{E95F26E8-B827-0B46-A832-A8E74495CF10}">
    <text xml:space="preserve">Not true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table" Target="../tables/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AD18-1939-3844-8744-1E3645F16652}">
  <dimension ref="A3:H17"/>
  <sheetViews>
    <sheetView workbookViewId="0">
      <selection activeCell="C5" sqref="C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4" bestFit="1" customWidth="1"/>
    <col min="4" max="4" width="3.6640625" bestFit="1" customWidth="1"/>
    <col min="5" max="5" width="6.83203125" bestFit="1" customWidth="1"/>
    <col min="6" max="6" width="8.83203125" bestFit="1" customWidth="1"/>
    <col min="7" max="7" width="3.83203125" bestFit="1" customWidth="1"/>
    <col min="8" max="8" width="10.5" bestFit="1" customWidth="1"/>
  </cols>
  <sheetData>
    <row r="3" spans="1:8" x14ac:dyDescent="0.2">
      <c r="B3" s="13" t="s">
        <v>54</v>
      </c>
    </row>
    <row r="4" spans="1:8" x14ac:dyDescent="0.2">
      <c r="A4" s="13" t="s">
        <v>55</v>
      </c>
      <c r="B4" t="s">
        <v>48</v>
      </c>
      <c r="C4" t="s">
        <v>50</v>
      </c>
      <c r="D4" t="s">
        <v>52</v>
      </c>
      <c r="E4" t="s">
        <v>49</v>
      </c>
      <c r="F4" t="s">
        <v>51</v>
      </c>
      <c r="G4" t="s">
        <v>53</v>
      </c>
      <c r="H4" t="s">
        <v>56</v>
      </c>
    </row>
    <row r="5" spans="1:8" x14ac:dyDescent="0.2">
      <c r="A5" s="14">
        <v>1500</v>
      </c>
    </row>
    <row r="6" spans="1:8" x14ac:dyDescent="0.2">
      <c r="A6" s="14">
        <v>1600</v>
      </c>
    </row>
    <row r="7" spans="1:8" x14ac:dyDescent="0.2">
      <c r="A7" s="14">
        <v>1700</v>
      </c>
    </row>
    <row r="8" spans="1:8" x14ac:dyDescent="0.2">
      <c r="A8" s="14">
        <v>1800</v>
      </c>
    </row>
    <row r="9" spans="1:8" x14ac:dyDescent="0.2">
      <c r="A9" s="14">
        <v>1900</v>
      </c>
    </row>
    <row r="10" spans="1:8" x14ac:dyDescent="0.2">
      <c r="A10" s="14">
        <v>2000</v>
      </c>
    </row>
    <row r="11" spans="1:8" x14ac:dyDescent="0.2">
      <c r="A11" s="14">
        <v>2100</v>
      </c>
    </row>
    <row r="12" spans="1:8" x14ac:dyDescent="0.2">
      <c r="A12" s="14">
        <v>2200</v>
      </c>
    </row>
    <row r="13" spans="1:8" x14ac:dyDescent="0.2">
      <c r="A13" s="14">
        <v>2300</v>
      </c>
    </row>
    <row r="14" spans="1:8" x14ac:dyDescent="0.2">
      <c r="A14" s="14">
        <v>2400</v>
      </c>
    </row>
    <row r="15" spans="1:8" x14ac:dyDescent="0.2">
      <c r="A15" s="14">
        <v>2500</v>
      </c>
    </row>
    <row r="16" spans="1:8" x14ac:dyDescent="0.2">
      <c r="A16" s="14">
        <v>2600</v>
      </c>
    </row>
    <row r="17" spans="1:1" x14ac:dyDescent="0.2">
      <c r="A17" s="1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7524-11DB-7040-A638-1497BB999EB6}">
  <dimension ref="A1:B1"/>
  <sheetViews>
    <sheetView workbookViewId="0"/>
  </sheetViews>
  <sheetFormatPr baseColWidth="10" defaultRowHeight="16" x14ac:dyDescent="0.2"/>
  <cols>
    <col min="1" max="1" width="8.5" bestFit="1" customWidth="1"/>
    <col min="2" max="2" width="7" bestFit="1" customWidth="1"/>
  </cols>
  <sheetData>
    <row r="1" spans="1:2" x14ac:dyDescent="0.2">
      <c r="A1" s="13" t="s">
        <v>59</v>
      </c>
      <c r="B1" t="s">
        <v>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3EF1-A135-7140-898B-D14C00F9AA39}">
  <dimension ref="A1:AN130"/>
  <sheetViews>
    <sheetView tabSelected="1" zoomScale="44" workbookViewId="0">
      <selection activeCell="W117" sqref="W117"/>
    </sheetView>
  </sheetViews>
  <sheetFormatPr baseColWidth="10" defaultRowHeight="16" x14ac:dyDescent="0.2"/>
  <cols>
    <col min="5" max="5" width="28.1640625" customWidth="1"/>
    <col min="7" max="7" width="12" customWidth="1"/>
    <col min="10" max="10" width="11.6640625" customWidth="1"/>
    <col min="11" max="11" width="12" customWidth="1"/>
    <col min="12" max="12" width="11.1640625" bestFit="1" customWidth="1"/>
    <col min="13" max="13" width="12.1640625" bestFit="1" customWidth="1"/>
    <col min="25" max="25" width="31.33203125" customWidth="1"/>
    <col min="27" max="27" width="14.1640625" customWidth="1"/>
    <col min="31" max="31" width="22.5" customWidth="1"/>
    <col min="35" max="35" width="14.6640625" customWidth="1"/>
  </cols>
  <sheetData>
    <row r="1" spans="1:32" ht="16" customHeight="1" thickBot="1" x14ac:dyDescent="0.25">
      <c r="A1" s="83" t="s">
        <v>17</v>
      </c>
      <c r="B1" s="83"/>
      <c r="C1" s="83"/>
      <c r="D1" s="83"/>
      <c r="E1" s="83"/>
      <c r="F1" s="83"/>
      <c r="G1" s="83"/>
      <c r="H1" s="83"/>
      <c r="I1" s="83"/>
      <c r="J1" s="83"/>
      <c r="K1" s="83"/>
      <c r="Z1" s="3" t="s">
        <v>1</v>
      </c>
      <c r="AA1" t="s">
        <v>47</v>
      </c>
    </row>
    <row r="2" spans="1:32" ht="27" customHeight="1" thickBot="1" x14ac:dyDescent="0.4">
      <c r="A2" s="26" t="s">
        <v>58</v>
      </c>
      <c r="B2" s="26" t="s">
        <v>59</v>
      </c>
      <c r="C2" s="26" t="s">
        <v>60</v>
      </c>
      <c r="D2" s="26" t="s">
        <v>61</v>
      </c>
      <c r="E2" s="26" t="s">
        <v>76</v>
      </c>
      <c r="F2" s="26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6" t="s">
        <v>67</v>
      </c>
      <c r="L2" s="26" t="s">
        <v>72</v>
      </c>
      <c r="M2" s="41" t="s">
        <v>19</v>
      </c>
      <c r="N2" s="42"/>
      <c r="O2" s="42"/>
      <c r="P2" s="43"/>
      <c r="U2" s="8" t="s">
        <v>42</v>
      </c>
      <c r="V2" s="8"/>
      <c r="W2" s="9"/>
      <c r="Z2" s="2" t="s">
        <v>9</v>
      </c>
      <c r="AB2" s="4" t="s">
        <v>8</v>
      </c>
      <c r="AC2" s="4" t="s">
        <v>13</v>
      </c>
      <c r="AF2" s="11"/>
    </row>
    <row r="3" spans="1:32" ht="16" customHeight="1" x14ac:dyDescent="0.2">
      <c r="A3" s="16" t="s">
        <v>0</v>
      </c>
      <c r="B3" s="3" t="s">
        <v>1</v>
      </c>
      <c r="C3" s="3" t="s">
        <v>2</v>
      </c>
      <c r="D3" s="44" t="s">
        <v>73</v>
      </c>
      <c r="E3" s="3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18" t="s">
        <v>13</v>
      </c>
      <c r="L3" s="28" t="str">
        <f>IF(Table1[[#This Row],[Column10]]&gt;1800,"Good","Bad")</f>
        <v>Good</v>
      </c>
      <c r="R3" t="s">
        <v>58</v>
      </c>
      <c r="S3" t="s">
        <v>59</v>
      </c>
      <c r="Z3" s="2" t="s">
        <v>36</v>
      </c>
      <c r="AB3" s="6">
        <f t="shared" ref="AB3:AB14" si="0">AVERAGE(F4:H4)</f>
        <v>1500</v>
      </c>
      <c r="AC3" s="1" t="str">
        <f t="shared" ref="AC3:AC14" si="1">CONCATENATE(B4,"  ",C4)</f>
        <v>A  X</v>
      </c>
    </row>
    <row r="4" spans="1:32" ht="16" customHeight="1" x14ac:dyDescent="0.2">
      <c r="A4" s="17">
        <v>1</v>
      </c>
      <c r="B4" s="2" t="s">
        <v>9</v>
      </c>
      <c r="C4" s="2" t="s">
        <v>11</v>
      </c>
      <c r="D4" s="2" t="s">
        <v>74</v>
      </c>
      <c r="E4" s="5">
        <v>23</v>
      </c>
      <c r="F4" s="6">
        <v>1500</v>
      </c>
      <c r="G4" s="6">
        <v>1500</v>
      </c>
      <c r="H4" s="6">
        <v>1500</v>
      </c>
      <c r="I4" s="6">
        <f t="shared" ref="I4:I15" si="2">SUM(F4+G4+H4)</f>
        <v>4500</v>
      </c>
      <c r="J4" s="6">
        <f>AVERAGE(F4:H4)</f>
        <v>1500</v>
      </c>
      <c r="K4" s="19" t="str">
        <f t="shared" ref="K4:K15" si="3">CONCATENATE(B4,"  ",C4)</f>
        <v>A  X</v>
      </c>
      <c r="L4" s="40" t="str">
        <f>IF(Table1[[#This Row],[Column10]]&gt;1800,"Good","Bad")</f>
        <v>Bad</v>
      </c>
      <c r="M4" t="s">
        <v>58</v>
      </c>
      <c r="N4" t="s">
        <v>59</v>
      </c>
      <c r="O4" t="s">
        <v>60</v>
      </c>
      <c r="P4" t="s">
        <v>61</v>
      </c>
      <c r="R4" t="s">
        <v>20</v>
      </c>
      <c r="S4" t="s">
        <v>29</v>
      </c>
      <c r="U4" t="s">
        <v>58</v>
      </c>
      <c r="V4" t="s">
        <v>59</v>
      </c>
      <c r="Z4" s="2" t="s">
        <v>9</v>
      </c>
      <c r="AB4" s="6">
        <f t="shared" si="0"/>
        <v>1600</v>
      </c>
      <c r="AC4" s="1" t="str">
        <f t="shared" si="1"/>
        <v>ghg  hg</v>
      </c>
    </row>
    <row r="5" spans="1:32" ht="16" customHeight="1" x14ac:dyDescent="0.2">
      <c r="A5" s="17">
        <v>2</v>
      </c>
      <c r="B5" s="2" t="s">
        <v>36</v>
      </c>
      <c r="C5" s="2" t="s">
        <v>37</v>
      </c>
      <c r="D5" s="2" t="s">
        <v>75</v>
      </c>
      <c r="E5" s="5">
        <v>24</v>
      </c>
      <c r="F5" s="6">
        <v>1600</v>
      </c>
      <c r="G5" s="6">
        <v>1600</v>
      </c>
      <c r="H5" s="6">
        <v>1600</v>
      </c>
      <c r="I5" s="6">
        <f t="shared" si="2"/>
        <v>4800</v>
      </c>
      <c r="J5" s="6">
        <f t="shared" ref="J5:J15" si="4">AVERAGE(F5:H5)</f>
        <v>1600</v>
      </c>
      <c r="K5" s="19" t="str">
        <f t="shared" si="3"/>
        <v>ghg  hg</v>
      </c>
      <c r="L5" s="40" t="str">
        <f>IF(Table1[[#This Row],[Column10]]&gt;1800,"Good","Bad")</f>
        <v>Bad</v>
      </c>
      <c r="M5">
        <v>1.004</v>
      </c>
      <c r="N5">
        <f>ROUND(M5,0)</f>
        <v>1</v>
      </c>
      <c r="O5">
        <f>ROUNDUP(M5,0)</f>
        <v>2</v>
      </c>
      <c r="P5">
        <f>+ROUNDDOWN(M5,0)</f>
        <v>1</v>
      </c>
      <c r="R5" t="s">
        <v>21</v>
      </c>
      <c r="S5" t="s">
        <v>30</v>
      </c>
      <c r="U5" t="s">
        <v>43</v>
      </c>
      <c r="V5" t="s">
        <v>44</v>
      </c>
      <c r="Z5" s="2" t="s">
        <v>10</v>
      </c>
      <c r="AB5" s="6">
        <f t="shared" si="0"/>
        <v>1700</v>
      </c>
      <c r="AC5" s="1" t="str">
        <f t="shared" si="1"/>
        <v>A  X</v>
      </c>
    </row>
    <row r="6" spans="1:32" ht="16" customHeight="1" x14ac:dyDescent="0.2">
      <c r="A6" s="17">
        <v>3</v>
      </c>
      <c r="B6" s="2" t="s">
        <v>9</v>
      </c>
      <c r="C6" s="2" t="s">
        <v>11</v>
      </c>
      <c r="D6" s="2" t="s">
        <v>74</v>
      </c>
      <c r="E6" s="5">
        <v>25</v>
      </c>
      <c r="F6" s="6">
        <v>1700</v>
      </c>
      <c r="G6" s="6">
        <v>1700</v>
      </c>
      <c r="H6" s="6">
        <v>1700</v>
      </c>
      <c r="I6" s="6">
        <f t="shared" si="2"/>
        <v>5100</v>
      </c>
      <c r="J6" s="6">
        <f t="shared" si="4"/>
        <v>1700</v>
      </c>
      <c r="K6" s="19" t="str">
        <f t="shared" si="3"/>
        <v>A  X</v>
      </c>
      <c r="L6" s="40" t="str">
        <f>IF(Table1[[#This Row],[Column10]]&gt;1800,"Good","Bad")</f>
        <v>Bad</v>
      </c>
      <c r="M6">
        <v>343.45600000000002</v>
      </c>
      <c r="N6">
        <f>ROUND(M6,0)</f>
        <v>343</v>
      </c>
      <c r="O6">
        <f>ROUNDUP(M6,0)</f>
        <v>344</v>
      </c>
      <c r="P6">
        <f>+ROUNDDOWN(M6,0)</f>
        <v>343</v>
      </c>
      <c r="R6" t="s">
        <v>22</v>
      </c>
      <c r="S6" t="s">
        <v>31</v>
      </c>
      <c r="U6" t="s">
        <v>45</v>
      </c>
      <c r="V6" t="s">
        <v>44</v>
      </c>
      <c r="Z6" s="2" t="s">
        <v>36</v>
      </c>
      <c r="AB6" s="6">
        <f t="shared" si="0"/>
        <v>1800</v>
      </c>
      <c r="AC6" s="1" t="str">
        <f t="shared" si="1"/>
        <v>B  Y</v>
      </c>
    </row>
    <row r="7" spans="1:32" ht="16" customHeight="1" x14ac:dyDescent="0.2">
      <c r="A7" s="17">
        <v>4</v>
      </c>
      <c r="B7" s="2" t="s">
        <v>10</v>
      </c>
      <c r="C7" s="2" t="s">
        <v>12</v>
      </c>
      <c r="D7" s="2" t="s">
        <v>75</v>
      </c>
      <c r="E7" s="5">
        <v>26</v>
      </c>
      <c r="F7" s="6">
        <v>1800</v>
      </c>
      <c r="G7" s="6">
        <v>1800</v>
      </c>
      <c r="H7" s="6">
        <v>1800</v>
      </c>
      <c r="I7" s="6">
        <f t="shared" si="2"/>
        <v>5400</v>
      </c>
      <c r="J7" s="6">
        <f t="shared" si="4"/>
        <v>1800</v>
      </c>
      <c r="K7" s="19" t="str">
        <f t="shared" si="3"/>
        <v>B  Y</v>
      </c>
      <c r="L7" s="40" t="str">
        <f>IF(Table1[[#This Row],[Column10]]&gt;1800,"Good","Bad")</f>
        <v>Bad</v>
      </c>
      <c r="M7">
        <v>32.5</v>
      </c>
      <c r="N7">
        <f>ROUND(M7,0)</f>
        <v>33</v>
      </c>
      <c r="O7">
        <f>ROUNDUP(M7,0)</f>
        <v>33</v>
      </c>
      <c r="P7">
        <f>+ROUNDDOWN(M7,0)</f>
        <v>32</v>
      </c>
      <c r="R7" t="s">
        <v>23</v>
      </c>
      <c r="S7" t="s">
        <v>32</v>
      </c>
      <c r="U7" t="s">
        <v>43</v>
      </c>
      <c r="V7" t="s">
        <v>44</v>
      </c>
      <c r="Z7" s="2" t="s">
        <v>14</v>
      </c>
      <c r="AB7" s="6">
        <f t="shared" si="0"/>
        <v>1900</v>
      </c>
      <c r="AC7" s="1" t="str">
        <f t="shared" si="1"/>
        <v>ghg  hggh</v>
      </c>
    </row>
    <row r="8" spans="1:32" ht="16" customHeight="1" x14ac:dyDescent="0.2">
      <c r="A8" s="17">
        <v>5</v>
      </c>
      <c r="B8" s="2" t="s">
        <v>36</v>
      </c>
      <c r="C8" s="2" t="s">
        <v>38</v>
      </c>
      <c r="D8" s="2" t="s">
        <v>74</v>
      </c>
      <c r="E8" s="5">
        <v>27</v>
      </c>
      <c r="F8" s="6">
        <v>1900</v>
      </c>
      <c r="G8" s="6">
        <v>1900</v>
      </c>
      <c r="H8" s="6">
        <v>1900</v>
      </c>
      <c r="I8" s="6">
        <f t="shared" si="2"/>
        <v>5700</v>
      </c>
      <c r="J8" s="6">
        <f t="shared" si="4"/>
        <v>1900</v>
      </c>
      <c r="K8" s="19" t="str">
        <f t="shared" si="3"/>
        <v>ghg  hggh</v>
      </c>
      <c r="L8" s="40" t="str">
        <f>IF(Table1[[#This Row],[Column10]]&gt;1800,"Good","Bad")</f>
        <v>Good</v>
      </c>
      <c r="M8">
        <v>22.893999999999998</v>
      </c>
      <c r="N8">
        <f>ROUND(M8,0)</f>
        <v>23</v>
      </c>
      <c r="O8">
        <f>ROUNDUP(M8,0)</f>
        <v>23</v>
      </c>
      <c r="P8">
        <f>+ROUNDDOWN(M8,0)</f>
        <v>22</v>
      </c>
      <c r="R8" t="s">
        <v>24</v>
      </c>
      <c r="S8" t="s">
        <v>33</v>
      </c>
      <c r="U8" t="s">
        <v>45</v>
      </c>
      <c r="V8" t="s">
        <v>44</v>
      </c>
      <c r="Z8" s="2" t="s">
        <v>9</v>
      </c>
      <c r="AB8" s="6">
        <f t="shared" si="0"/>
        <v>2000</v>
      </c>
      <c r="AC8" s="1" t="str">
        <f t="shared" si="1"/>
        <v>c  v</v>
      </c>
    </row>
    <row r="9" spans="1:32" ht="16" customHeight="1" x14ac:dyDescent="0.2">
      <c r="A9" s="17">
        <v>6</v>
      </c>
      <c r="B9" s="2" t="s">
        <v>14</v>
      </c>
      <c r="C9" s="2" t="s">
        <v>15</v>
      </c>
      <c r="D9" s="2" t="s">
        <v>75</v>
      </c>
      <c r="E9" s="5">
        <v>28</v>
      </c>
      <c r="F9" s="6">
        <v>2000</v>
      </c>
      <c r="G9" s="6">
        <v>2000</v>
      </c>
      <c r="H9" s="6">
        <v>2000</v>
      </c>
      <c r="I9" s="6">
        <f t="shared" si="2"/>
        <v>6000</v>
      </c>
      <c r="J9" s="6">
        <f t="shared" si="4"/>
        <v>2000</v>
      </c>
      <c r="K9" s="20" t="str">
        <f t="shared" si="3"/>
        <v>c  v</v>
      </c>
      <c r="L9" s="40" t="str">
        <f>IF(Table1[[#This Row],[Column10]]&gt;1800,"Good","Bad")</f>
        <v>Good</v>
      </c>
      <c r="M9">
        <v>22.01</v>
      </c>
      <c r="N9">
        <f>ROUND(M9,0)</f>
        <v>22</v>
      </c>
      <c r="O9">
        <f>ROUNDUP(M9,0)</f>
        <v>23</v>
      </c>
      <c r="P9">
        <f>+ROUNDDOWN(M9,0)</f>
        <v>22</v>
      </c>
      <c r="R9" t="s">
        <v>25</v>
      </c>
      <c r="S9" t="s">
        <v>34</v>
      </c>
      <c r="U9" t="s">
        <v>43</v>
      </c>
      <c r="V9" t="s">
        <v>44</v>
      </c>
      <c r="Z9" s="2" t="s">
        <v>16</v>
      </c>
      <c r="AB9" s="6">
        <f t="shared" si="0"/>
        <v>2100</v>
      </c>
      <c r="AC9" s="1" t="str">
        <f t="shared" si="1"/>
        <v>A  X</v>
      </c>
    </row>
    <row r="10" spans="1:32" ht="16" customHeight="1" x14ac:dyDescent="0.2">
      <c r="A10" s="17">
        <v>7</v>
      </c>
      <c r="B10" s="2" t="s">
        <v>9</v>
      </c>
      <c r="C10" s="2" t="s">
        <v>11</v>
      </c>
      <c r="D10" s="2" t="s">
        <v>74</v>
      </c>
      <c r="E10" s="5">
        <v>29</v>
      </c>
      <c r="F10" s="6">
        <v>2100</v>
      </c>
      <c r="G10" s="6">
        <v>2100</v>
      </c>
      <c r="H10" s="6">
        <v>2100</v>
      </c>
      <c r="I10" s="6">
        <f t="shared" si="2"/>
        <v>6300</v>
      </c>
      <c r="J10" s="6">
        <f t="shared" si="4"/>
        <v>2100</v>
      </c>
      <c r="K10" s="19" t="str">
        <f t="shared" si="3"/>
        <v>A  X</v>
      </c>
      <c r="L10" s="6" t="str">
        <f>IF(Table1[[#This Row],[Column10]]&gt;1800,"Good","Bad")</f>
        <v>Good</v>
      </c>
      <c r="R10" t="s">
        <v>26</v>
      </c>
      <c r="S10" t="s">
        <v>35</v>
      </c>
      <c r="U10" t="s">
        <v>45</v>
      </c>
      <c r="V10" t="s">
        <v>44</v>
      </c>
      <c r="Z10" s="2" t="s">
        <v>9</v>
      </c>
      <c r="AB10" s="6">
        <f t="shared" si="0"/>
        <v>2200</v>
      </c>
      <c r="AC10" s="1" t="str">
        <f t="shared" si="1"/>
        <v>k  Y</v>
      </c>
    </row>
    <row r="11" spans="1:32" ht="16" customHeight="1" x14ac:dyDescent="0.2">
      <c r="A11" s="17">
        <v>8</v>
      </c>
      <c r="B11" s="2" t="s">
        <v>16</v>
      </c>
      <c r="C11" s="2" t="s">
        <v>12</v>
      </c>
      <c r="D11" s="2" t="s">
        <v>75</v>
      </c>
      <c r="E11" s="5">
        <v>30</v>
      </c>
      <c r="F11" s="6">
        <v>2200</v>
      </c>
      <c r="G11" s="6">
        <v>2200</v>
      </c>
      <c r="H11" s="6">
        <v>2200</v>
      </c>
      <c r="I11" s="6">
        <f t="shared" si="2"/>
        <v>6600</v>
      </c>
      <c r="J11" s="6">
        <f t="shared" si="4"/>
        <v>2200</v>
      </c>
      <c r="K11" s="19" t="str">
        <f t="shared" si="3"/>
        <v>k  Y</v>
      </c>
      <c r="L11" s="6" t="str">
        <f>IF(Table1[[#This Row],[Column10]]&gt;1800,"Good","Bad")</f>
        <v>Good</v>
      </c>
      <c r="R11" t="s">
        <v>27</v>
      </c>
      <c r="S11" t="s">
        <v>29</v>
      </c>
      <c r="U11" t="s">
        <v>43</v>
      </c>
      <c r="V11" t="s">
        <v>44</v>
      </c>
      <c r="Z11" s="2" t="s">
        <v>10</v>
      </c>
      <c r="AB11" s="6">
        <f t="shared" si="0"/>
        <v>2300</v>
      </c>
      <c r="AC11" s="1" t="str">
        <f t="shared" si="1"/>
        <v>A  X</v>
      </c>
    </row>
    <row r="12" spans="1:32" ht="16" customHeight="1" x14ac:dyDescent="0.2">
      <c r="A12" s="17">
        <v>9</v>
      </c>
      <c r="B12" s="2" t="s">
        <v>9</v>
      </c>
      <c r="C12" s="2" t="s">
        <v>11</v>
      </c>
      <c r="D12" s="2" t="s">
        <v>74</v>
      </c>
      <c r="E12" s="5">
        <v>31</v>
      </c>
      <c r="F12" s="6">
        <v>2300</v>
      </c>
      <c r="G12" s="6">
        <v>2300</v>
      </c>
      <c r="H12" s="6">
        <v>2300</v>
      </c>
      <c r="I12" s="6">
        <f t="shared" si="2"/>
        <v>6900</v>
      </c>
      <c r="J12" s="6">
        <f t="shared" si="4"/>
        <v>2300</v>
      </c>
      <c r="K12" s="19" t="str">
        <f t="shared" si="3"/>
        <v>A  X</v>
      </c>
      <c r="L12" s="6" t="str">
        <f>IF(Table1[[#This Row],[Column10]]&gt;1800,"Good","Bad")</f>
        <v>Good</v>
      </c>
      <c r="R12" t="s">
        <v>28</v>
      </c>
      <c r="S12" t="s">
        <v>30</v>
      </c>
      <c r="U12" t="s">
        <v>45</v>
      </c>
      <c r="V12" t="s">
        <v>44</v>
      </c>
      <c r="Z12" s="2" t="s">
        <v>9</v>
      </c>
      <c r="AB12" s="6">
        <f t="shared" si="0"/>
        <v>2400</v>
      </c>
      <c r="AC12" s="1" t="str">
        <f t="shared" si="1"/>
        <v>B  Y</v>
      </c>
    </row>
    <row r="13" spans="1:32" ht="16" customHeight="1" x14ac:dyDescent="0.2">
      <c r="A13" s="17">
        <v>10</v>
      </c>
      <c r="B13" s="2" t="s">
        <v>10</v>
      </c>
      <c r="C13" s="2" t="s">
        <v>12</v>
      </c>
      <c r="D13" s="2" t="s">
        <v>75</v>
      </c>
      <c r="E13" s="5">
        <v>32</v>
      </c>
      <c r="F13" s="6">
        <v>2400</v>
      </c>
      <c r="G13" s="6">
        <v>2400</v>
      </c>
      <c r="H13" s="6">
        <v>2400</v>
      </c>
      <c r="I13" s="6">
        <f t="shared" si="2"/>
        <v>7200</v>
      </c>
      <c r="J13" s="6">
        <f t="shared" si="4"/>
        <v>2400</v>
      </c>
      <c r="K13" s="19" t="str">
        <f t="shared" si="3"/>
        <v>B  Y</v>
      </c>
      <c r="L13" s="6" t="str">
        <f>IF(Table1[[#This Row],[Column10]]&gt;1800,"Good","Bad")</f>
        <v>Good</v>
      </c>
      <c r="Z13" s="2" t="s">
        <v>10</v>
      </c>
      <c r="AB13" s="6">
        <f t="shared" si="0"/>
        <v>2500</v>
      </c>
      <c r="AC13" s="1" t="str">
        <f t="shared" si="1"/>
        <v>A  X</v>
      </c>
    </row>
    <row r="14" spans="1:32" ht="16" customHeight="1" x14ac:dyDescent="0.2">
      <c r="A14" s="17">
        <v>11</v>
      </c>
      <c r="B14" s="2" t="s">
        <v>9</v>
      </c>
      <c r="C14" s="2" t="s">
        <v>11</v>
      </c>
      <c r="D14" s="2" t="s">
        <v>74</v>
      </c>
      <c r="E14" s="5">
        <v>33</v>
      </c>
      <c r="F14" s="6">
        <v>2500</v>
      </c>
      <c r="G14" s="6">
        <v>2500</v>
      </c>
      <c r="H14" s="6">
        <v>2500</v>
      </c>
      <c r="I14" s="6">
        <f t="shared" si="2"/>
        <v>7500</v>
      </c>
      <c r="J14" s="6">
        <f t="shared" si="4"/>
        <v>2500</v>
      </c>
      <c r="K14" s="19" t="str">
        <f t="shared" si="3"/>
        <v>A  X</v>
      </c>
      <c r="L14" s="6" t="str">
        <f>IF(Table1[[#This Row],[Column10]]&gt;1800,"Good","Bad")</f>
        <v>Good</v>
      </c>
      <c r="AB14" s="6">
        <f t="shared" si="0"/>
        <v>2600</v>
      </c>
      <c r="AC14" s="1" t="str">
        <f t="shared" si="1"/>
        <v>B  Y</v>
      </c>
    </row>
    <row r="15" spans="1:32" ht="16" customHeight="1" x14ac:dyDescent="0.2">
      <c r="A15" s="21">
        <v>12</v>
      </c>
      <c r="B15" s="22" t="s">
        <v>10</v>
      </c>
      <c r="C15" s="22" t="s">
        <v>12</v>
      </c>
      <c r="D15" s="2" t="s">
        <v>75</v>
      </c>
      <c r="E15" s="23">
        <v>34</v>
      </c>
      <c r="F15" s="24">
        <v>2600</v>
      </c>
      <c r="G15" s="24">
        <v>2600</v>
      </c>
      <c r="H15" s="24">
        <v>2600</v>
      </c>
      <c r="I15" s="24">
        <f t="shared" si="2"/>
        <v>7800</v>
      </c>
      <c r="J15" s="24">
        <f t="shared" si="4"/>
        <v>2600</v>
      </c>
      <c r="K15" s="25" t="str">
        <f t="shared" si="3"/>
        <v>B  Y</v>
      </c>
      <c r="L15" s="24" t="str">
        <f>IF(Table1[[#This Row],[Column10]]&gt;1800,"Good","Bad")</f>
        <v>Good</v>
      </c>
    </row>
    <row r="16" spans="1:32" ht="16" customHeight="1" x14ac:dyDescent="0.2">
      <c r="E16" s="84" t="s">
        <v>18</v>
      </c>
      <c r="F16" s="84"/>
      <c r="G16" s="12">
        <f t="shared" ref="G16:I16" si="5">SUM(G4:G15)</f>
        <v>24600</v>
      </c>
      <c r="H16" s="12">
        <f t="shared" si="5"/>
        <v>24600</v>
      </c>
      <c r="I16" s="12">
        <f t="shared" si="5"/>
        <v>73800</v>
      </c>
      <c r="J16" s="12">
        <f>SUM(J4:J15)</f>
        <v>24600</v>
      </c>
    </row>
    <row r="17" spans="1:13" ht="16" customHeight="1" x14ac:dyDescent="0.2">
      <c r="E17" s="85" t="s">
        <v>68</v>
      </c>
      <c r="F17" s="85"/>
      <c r="G17" s="15">
        <f>+COUNT(G4:G15)</f>
        <v>12</v>
      </c>
      <c r="H17" t="s">
        <v>69</v>
      </c>
      <c r="I17">
        <f>COUNTA(K4:K15)</f>
        <v>12</v>
      </c>
      <c r="K17" s="12">
        <f>J4+J5+J6+J7+J8+J9</f>
        <v>10500</v>
      </c>
      <c r="L17">
        <f>I16*J16</f>
        <v>1815480000</v>
      </c>
      <c r="M17">
        <f>L17/K17</f>
        <v>172902.85714285713</v>
      </c>
    </row>
    <row r="18" spans="1:13" ht="16" customHeight="1" x14ac:dyDescent="0.2">
      <c r="E18" s="27"/>
      <c r="F18" s="27" t="s">
        <v>70</v>
      </c>
      <c r="G18" s="14">
        <f>MIN(J4:J15)</f>
        <v>1500</v>
      </c>
      <c r="H18" t="s">
        <v>71</v>
      </c>
      <c r="I18" s="12">
        <f>MAX(J4:J15)</f>
        <v>2600</v>
      </c>
      <c r="K18" s="12"/>
    </row>
    <row r="19" spans="1:13" ht="16" customHeight="1" x14ac:dyDescent="0.2">
      <c r="E19" s="27"/>
      <c r="F19" s="27"/>
      <c r="G19" s="15"/>
      <c r="K19" s="12"/>
    </row>
    <row r="20" spans="1:13" ht="16" customHeight="1" x14ac:dyDescent="0.2">
      <c r="E20" s="84"/>
      <c r="F20" s="84"/>
    </row>
    <row r="21" spans="1:13" ht="18" customHeight="1" x14ac:dyDescent="0.3">
      <c r="A21" s="80" t="s">
        <v>46</v>
      </c>
      <c r="B21" s="81"/>
      <c r="C21" s="81"/>
      <c r="D21" s="81"/>
      <c r="E21" s="81"/>
      <c r="F21" s="81"/>
      <c r="G21" s="81"/>
      <c r="H21" s="81"/>
      <c r="I21" s="81"/>
    </row>
    <row r="22" spans="1:13" ht="16" customHeight="1" x14ac:dyDescent="0.2">
      <c r="A22" s="39"/>
      <c r="B22" s="30"/>
      <c r="C22" s="31"/>
      <c r="D22" s="32"/>
      <c r="E22" s="29"/>
      <c r="F22" s="33"/>
      <c r="G22" s="34"/>
      <c r="H22" s="35"/>
      <c r="I22" s="36"/>
      <c r="J22" s="37"/>
      <c r="K22" s="38"/>
    </row>
    <row r="23" spans="1:13" ht="16" customHeight="1" x14ac:dyDescent="0.2">
      <c r="A23" s="82"/>
      <c r="B23" s="82"/>
      <c r="C23" s="82"/>
      <c r="D23" s="82"/>
      <c r="E23" s="82"/>
      <c r="F23" s="82"/>
      <c r="G23" s="82"/>
      <c r="H23" s="82"/>
      <c r="I23" s="82"/>
    </row>
    <row r="24" spans="1:13" ht="16" customHeight="1" x14ac:dyDescent="0.2"/>
    <row r="25" spans="1:13" ht="16" customHeight="1" x14ac:dyDescent="0.2">
      <c r="H25" t="s">
        <v>39</v>
      </c>
    </row>
    <row r="26" spans="1:13" ht="16" customHeight="1" x14ac:dyDescent="0.2"/>
    <row r="27" spans="1:13" ht="16" customHeight="1" x14ac:dyDescent="0.2"/>
    <row r="28" spans="1:13" ht="16" customHeight="1" x14ac:dyDescent="0.2"/>
    <row r="29" spans="1:13" ht="16" customHeight="1" x14ac:dyDescent="0.2"/>
    <row r="30" spans="1:13" ht="16" customHeight="1" x14ac:dyDescent="0.2"/>
    <row r="31" spans="1:13" ht="16" customHeight="1" x14ac:dyDescent="0.2"/>
    <row r="32" spans="1:13" ht="16" customHeight="1" x14ac:dyDescent="0.2"/>
    <row r="33" spans="1:40" ht="16" customHeight="1" x14ac:dyDescent="0.2"/>
    <row r="34" spans="1:40" ht="16" customHeight="1" x14ac:dyDescent="0.2"/>
    <row r="35" spans="1:40" ht="16" customHeight="1" x14ac:dyDescent="0.2"/>
    <row r="36" spans="1:40" ht="16" customHeight="1" x14ac:dyDescent="0.2"/>
    <row r="37" spans="1:40" ht="16" customHeight="1" x14ac:dyDescent="0.2"/>
    <row r="38" spans="1:40" ht="16" customHeight="1" x14ac:dyDescent="0.2"/>
    <row r="39" spans="1:40" ht="16" customHeight="1" x14ac:dyDescent="0.2"/>
    <row r="40" spans="1:40" ht="16" customHeight="1" x14ac:dyDescent="0.2"/>
    <row r="47" spans="1:40" ht="16" customHeight="1" x14ac:dyDescent="0.2">
      <c r="A47" s="77" t="s">
        <v>109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U47" s="77" t="s">
        <v>110</v>
      </c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</row>
    <row r="48" spans="1:40" x14ac:dyDescent="0.2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</row>
    <row r="49" spans="1:40" x14ac:dyDescent="0.2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</row>
    <row r="52" spans="1:40" ht="29" customHeight="1" x14ac:dyDescent="0.2">
      <c r="A52" s="78" t="s">
        <v>77</v>
      </c>
      <c r="B52" s="78"/>
      <c r="C52" s="78"/>
      <c r="D52" s="78"/>
      <c r="E52" s="78" t="s">
        <v>78</v>
      </c>
      <c r="F52" s="78"/>
      <c r="G52" s="78"/>
      <c r="H52" s="78" t="s">
        <v>108</v>
      </c>
      <c r="I52" s="78"/>
      <c r="J52" s="78"/>
      <c r="K52" s="78"/>
      <c r="L52" s="78" t="s">
        <v>103</v>
      </c>
      <c r="M52" s="78"/>
      <c r="N52" s="78"/>
      <c r="O52" s="78"/>
      <c r="P52" s="78" t="s">
        <v>105</v>
      </c>
      <c r="Q52" s="78"/>
      <c r="R52" s="78"/>
      <c r="S52" s="78"/>
      <c r="U52" s="78" t="s">
        <v>129</v>
      </c>
      <c r="V52" s="78"/>
      <c r="W52" s="78"/>
      <c r="X52" s="78"/>
      <c r="Y52" s="55" t="s">
        <v>131</v>
      </c>
      <c r="Z52" s="78" t="s">
        <v>130</v>
      </c>
      <c r="AA52" s="78"/>
      <c r="AB52" s="78"/>
      <c r="AC52" s="78" t="s">
        <v>132</v>
      </c>
      <c r="AD52" s="78"/>
      <c r="AE52" s="78"/>
      <c r="AF52" s="78"/>
      <c r="AG52" s="78" t="s">
        <v>133</v>
      </c>
      <c r="AH52" s="78"/>
      <c r="AI52" s="78"/>
      <c r="AJ52" s="78"/>
      <c r="AK52" s="78" t="s">
        <v>105</v>
      </c>
      <c r="AL52" s="78"/>
      <c r="AM52" s="78"/>
      <c r="AN52" s="78"/>
    </row>
    <row r="53" spans="1:40" ht="29" customHeight="1" x14ac:dyDescent="0.2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U53" s="78"/>
      <c r="V53" s="78"/>
      <c r="W53" s="78"/>
      <c r="X53" s="78"/>
      <c r="Y53" s="56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</row>
    <row r="54" spans="1:40" ht="29" x14ac:dyDescent="0.35">
      <c r="A54" s="62" t="s">
        <v>79</v>
      </c>
      <c r="B54" s="63"/>
      <c r="C54" s="63"/>
      <c r="D54" s="64"/>
      <c r="E54" s="65">
        <v>1000</v>
      </c>
      <c r="F54" s="65"/>
      <c r="G54" s="65"/>
      <c r="H54" s="86">
        <v>1200</v>
      </c>
      <c r="I54" s="86"/>
      <c r="J54" s="86"/>
      <c r="K54" s="86"/>
      <c r="L54" s="66">
        <f>E54-H54</f>
        <v>-200</v>
      </c>
      <c r="M54" s="67"/>
      <c r="N54" s="67"/>
      <c r="O54" s="67"/>
      <c r="P54" s="79" t="s">
        <v>101</v>
      </c>
      <c r="Q54" s="79"/>
      <c r="R54" s="79"/>
      <c r="S54" s="79"/>
      <c r="U54" s="62" t="s">
        <v>111</v>
      </c>
      <c r="V54" s="63"/>
      <c r="W54" s="63"/>
      <c r="X54" s="64"/>
      <c r="Y54" s="47">
        <v>1000</v>
      </c>
      <c r="Z54" s="65">
        <v>1000</v>
      </c>
      <c r="AA54" s="65"/>
      <c r="AB54" s="65"/>
      <c r="AC54" s="65">
        <v>1000</v>
      </c>
      <c r="AD54" s="65"/>
      <c r="AE54" s="65"/>
      <c r="AF54" s="65"/>
      <c r="AG54" s="66">
        <f>AC54-Z54</f>
        <v>0</v>
      </c>
      <c r="AH54" s="67"/>
      <c r="AI54" s="67"/>
      <c r="AJ54" s="67"/>
      <c r="AK54" s="79" t="s">
        <v>134</v>
      </c>
      <c r="AL54" s="79"/>
      <c r="AM54" s="79"/>
      <c r="AN54" s="79"/>
    </row>
    <row r="55" spans="1:40" ht="29" x14ac:dyDescent="0.35">
      <c r="A55" s="62" t="s">
        <v>80</v>
      </c>
      <c r="B55" s="63"/>
      <c r="C55" s="63"/>
      <c r="D55" s="64"/>
      <c r="E55" s="65">
        <v>2000</v>
      </c>
      <c r="F55" s="65"/>
      <c r="G55" s="65"/>
      <c r="H55" s="65">
        <v>1300</v>
      </c>
      <c r="I55" s="65"/>
      <c r="J55" s="65"/>
      <c r="K55" s="65"/>
      <c r="L55" s="66">
        <f t="shared" ref="L55:L71" si="6">E55-H55</f>
        <v>700</v>
      </c>
      <c r="M55" s="67"/>
      <c r="N55" s="67"/>
      <c r="O55" s="67"/>
      <c r="P55" s="68" t="s">
        <v>97</v>
      </c>
      <c r="Q55" s="68"/>
      <c r="R55" s="68"/>
      <c r="S55" s="68"/>
      <c r="U55" s="62" t="s">
        <v>112</v>
      </c>
      <c r="V55" s="63"/>
      <c r="W55" s="63"/>
      <c r="X55" s="64"/>
      <c r="Y55" s="47">
        <v>2000</v>
      </c>
      <c r="Z55" s="65">
        <v>2000</v>
      </c>
      <c r="AA55" s="65"/>
      <c r="AB55" s="65"/>
      <c r="AC55" s="57">
        <v>2200</v>
      </c>
      <c r="AD55" s="58"/>
      <c r="AE55" s="58"/>
      <c r="AF55" s="59"/>
      <c r="AG55" s="66">
        <f t="shared" ref="AG55:AG71" si="7">AC55-Z55</f>
        <v>200</v>
      </c>
      <c r="AH55" s="67"/>
      <c r="AI55" s="67"/>
      <c r="AJ55" s="67"/>
      <c r="AK55" s="68" t="s">
        <v>97</v>
      </c>
      <c r="AL55" s="68"/>
      <c r="AM55" s="68"/>
      <c r="AN55" s="68"/>
    </row>
    <row r="56" spans="1:40" ht="29" x14ac:dyDescent="0.35">
      <c r="A56" s="62" t="s">
        <v>81</v>
      </c>
      <c r="B56" s="63"/>
      <c r="C56" s="63"/>
      <c r="D56" s="64"/>
      <c r="E56" s="65">
        <v>3000</v>
      </c>
      <c r="F56" s="65"/>
      <c r="G56" s="65"/>
      <c r="H56" s="65">
        <v>1400</v>
      </c>
      <c r="I56" s="65"/>
      <c r="J56" s="65"/>
      <c r="K56" s="65"/>
      <c r="L56" s="66">
        <f t="shared" si="6"/>
        <v>1600</v>
      </c>
      <c r="M56" s="67"/>
      <c r="N56" s="67"/>
      <c r="O56" s="67"/>
      <c r="P56" s="68" t="s">
        <v>97</v>
      </c>
      <c r="Q56" s="68"/>
      <c r="R56" s="68"/>
      <c r="S56" s="68"/>
      <c r="U56" s="62" t="s">
        <v>113</v>
      </c>
      <c r="V56" s="63"/>
      <c r="W56" s="63"/>
      <c r="X56" s="64"/>
      <c r="Y56" s="47">
        <v>3000</v>
      </c>
      <c r="Z56" s="65">
        <v>3000</v>
      </c>
      <c r="AA56" s="65"/>
      <c r="AB56" s="65"/>
      <c r="AC56" s="65">
        <v>3200</v>
      </c>
      <c r="AD56" s="65"/>
      <c r="AE56" s="65"/>
      <c r="AF56" s="65"/>
      <c r="AG56" s="66">
        <f t="shared" si="7"/>
        <v>200</v>
      </c>
      <c r="AH56" s="67"/>
      <c r="AI56" s="67"/>
      <c r="AJ56" s="67"/>
      <c r="AK56" s="68" t="s">
        <v>97</v>
      </c>
      <c r="AL56" s="68"/>
      <c r="AM56" s="68"/>
      <c r="AN56" s="68"/>
    </row>
    <row r="57" spans="1:40" ht="29" x14ac:dyDescent="0.35">
      <c r="A57" s="62" t="s">
        <v>82</v>
      </c>
      <c r="B57" s="63"/>
      <c r="C57" s="63"/>
      <c r="D57" s="64"/>
      <c r="E57" s="65">
        <v>4000</v>
      </c>
      <c r="F57" s="65"/>
      <c r="G57" s="65"/>
      <c r="H57" s="65">
        <v>1500</v>
      </c>
      <c r="I57" s="65"/>
      <c r="J57" s="65"/>
      <c r="K57" s="65"/>
      <c r="L57" s="66">
        <f t="shared" si="6"/>
        <v>2500</v>
      </c>
      <c r="M57" s="67"/>
      <c r="N57" s="67"/>
      <c r="O57" s="67"/>
      <c r="P57" s="68" t="s">
        <v>97</v>
      </c>
      <c r="Q57" s="68"/>
      <c r="R57" s="68"/>
      <c r="S57" s="68"/>
      <c r="U57" s="62" t="s">
        <v>114</v>
      </c>
      <c r="V57" s="63"/>
      <c r="W57" s="63"/>
      <c r="X57" s="64"/>
      <c r="Y57" s="47">
        <v>4000</v>
      </c>
      <c r="Z57" s="65">
        <v>4000</v>
      </c>
      <c r="AA57" s="65"/>
      <c r="AB57" s="65"/>
      <c r="AC57" s="65">
        <v>4200</v>
      </c>
      <c r="AD57" s="65"/>
      <c r="AE57" s="65"/>
      <c r="AF57" s="65"/>
      <c r="AG57" s="66">
        <f t="shared" si="7"/>
        <v>200</v>
      </c>
      <c r="AH57" s="67"/>
      <c r="AI57" s="67"/>
      <c r="AJ57" s="67"/>
      <c r="AK57" s="68" t="s">
        <v>97</v>
      </c>
      <c r="AL57" s="68"/>
      <c r="AM57" s="68"/>
      <c r="AN57" s="68"/>
    </row>
    <row r="58" spans="1:40" ht="29" x14ac:dyDescent="0.35">
      <c r="A58" s="62" t="s">
        <v>83</v>
      </c>
      <c r="B58" s="63"/>
      <c r="C58" s="63"/>
      <c r="D58" s="64"/>
      <c r="E58" s="65">
        <v>5000</v>
      </c>
      <c r="F58" s="65"/>
      <c r="G58" s="65"/>
      <c r="H58" s="65">
        <v>1600</v>
      </c>
      <c r="I58" s="65"/>
      <c r="J58" s="65"/>
      <c r="K58" s="65"/>
      <c r="L58" s="66">
        <f t="shared" si="6"/>
        <v>3400</v>
      </c>
      <c r="M58" s="67"/>
      <c r="N58" s="67"/>
      <c r="O58" s="67"/>
      <c r="P58" s="68" t="s">
        <v>97</v>
      </c>
      <c r="Q58" s="68"/>
      <c r="R58" s="68"/>
      <c r="S58" s="68"/>
      <c r="U58" s="62" t="s">
        <v>115</v>
      </c>
      <c r="V58" s="63"/>
      <c r="W58" s="63"/>
      <c r="X58" s="64"/>
      <c r="Y58" s="47">
        <v>5000</v>
      </c>
      <c r="Z58" s="65">
        <v>5000</v>
      </c>
      <c r="AA58" s="65"/>
      <c r="AB58" s="65"/>
      <c r="AC58" s="57">
        <v>5200</v>
      </c>
      <c r="AD58" s="58"/>
      <c r="AE58" s="58"/>
      <c r="AF58" s="59"/>
      <c r="AG58" s="66">
        <f t="shared" si="7"/>
        <v>200</v>
      </c>
      <c r="AH58" s="67"/>
      <c r="AI58" s="67"/>
      <c r="AJ58" s="67"/>
      <c r="AK58" s="68" t="s">
        <v>97</v>
      </c>
      <c r="AL58" s="68"/>
      <c r="AM58" s="68"/>
      <c r="AN58" s="68"/>
    </row>
    <row r="59" spans="1:40" ht="29" x14ac:dyDescent="0.35">
      <c r="A59" s="62" t="s">
        <v>84</v>
      </c>
      <c r="B59" s="63"/>
      <c r="C59" s="63"/>
      <c r="D59" s="64"/>
      <c r="E59" s="65">
        <v>6000</v>
      </c>
      <c r="F59" s="65"/>
      <c r="G59" s="65"/>
      <c r="H59" s="65">
        <v>1700</v>
      </c>
      <c r="I59" s="65"/>
      <c r="J59" s="65"/>
      <c r="K59" s="65"/>
      <c r="L59" s="66">
        <f t="shared" si="6"/>
        <v>4300</v>
      </c>
      <c r="M59" s="67"/>
      <c r="N59" s="67"/>
      <c r="O59" s="67"/>
      <c r="P59" s="68" t="s">
        <v>97</v>
      </c>
      <c r="Q59" s="68"/>
      <c r="R59" s="68"/>
      <c r="S59" s="68"/>
      <c r="U59" s="62" t="s">
        <v>116</v>
      </c>
      <c r="V59" s="63"/>
      <c r="W59" s="63"/>
      <c r="X59" s="64"/>
      <c r="Y59" s="47">
        <v>6000</v>
      </c>
      <c r="Z59" s="65">
        <v>6000</v>
      </c>
      <c r="AA59" s="65"/>
      <c r="AB59" s="65"/>
      <c r="AC59" s="65">
        <v>6200</v>
      </c>
      <c r="AD59" s="65"/>
      <c r="AE59" s="65"/>
      <c r="AF59" s="65"/>
      <c r="AG59" s="66">
        <f t="shared" si="7"/>
        <v>200</v>
      </c>
      <c r="AH59" s="67"/>
      <c r="AI59" s="67"/>
      <c r="AJ59" s="67"/>
      <c r="AK59" s="68" t="s">
        <v>97</v>
      </c>
      <c r="AL59" s="68"/>
      <c r="AM59" s="68"/>
      <c r="AN59" s="68"/>
    </row>
    <row r="60" spans="1:40" ht="29" x14ac:dyDescent="0.35">
      <c r="A60" s="62" t="s">
        <v>85</v>
      </c>
      <c r="B60" s="63"/>
      <c r="C60" s="63"/>
      <c r="D60" s="64"/>
      <c r="E60" s="65">
        <v>7000</v>
      </c>
      <c r="F60" s="65"/>
      <c r="G60" s="65"/>
      <c r="H60" s="65">
        <v>1800</v>
      </c>
      <c r="I60" s="65"/>
      <c r="J60" s="65"/>
      <c r="K60" s="65"/>
      <c r="L60" s="66">
        <f t="shared" si="6"/>
        <v>5200</v>
      </c>
      <c r="M60" s="67"/>
      <c r="N60" s="67"/>
      <c r="O60" s="67"/>
      <c r="P60" s="68" t="s">
        <v>97</v>
      </c>
      <c r="Q60" s="68"/>
      <c r="R60" s="68"/>
      <c r="S60" s="68"/>
      <c r="U60" s="62" t="s">
        <v>117</v>
      </c>
      <c r="V60" s="63"/>
      <c r="W60" s="63"/>
      <c r="X60" s="64"/>
      <c r="Y60" s="47">
        <v>7000</v>
      </c>
      <c r="Z60" s="65">
        <v>7000</v>
      </c>
      <c r="AA60" s="65"/>
      <c r="AB60" s="65"/>
      <c r="AC60" s="65">
        <v>8000</v>
      </c>
      <c r="AD60" s="65"/>
      <c r="AE60" s="65"/>
      <c r="AF60" s="65"/>
      <c r="AG60" s="66">
        <f t="shared" si="7"/>
        <v>1000</v>
      </c>
      <c r="AH60" s="67"/>
      <c r="AI60" s="67"/>
      <c r="AJ60" s="67"/>
      <c r="AK60" s="68" t="s">
        <v>97</v>
      </c>
      <c r="AL60" s="68"/>
      <c r="AM60" s="68"/>
      <c r="AN60" s="68"/>
    </row>
    <row r="61" spans="1:40" ht="29" x14ac:dyDescent="0.35">
      <c r="A61" s="62" t="s">
        <v>86</v>
      </c>
      <c r="B61" s="63"/>
      <c r="C61" s="63"/>
      <c r="D61" s="64"/>
      <c r="E61" s="65">
        <v>8000</v>
      </c>
      <c r="F61" s="65"/>
      <c r="G61" s="65"/>
      <c r="H61" s="65">
        <v>1900</v>
      </c>
      <c r="I61" s="65"/>
      <c r="J61" s="65"/>
      <c r="K61" s="65"/>
      <c r="L61" s="66">
        <f t="shared" si="6"/>
        <v>6100</v>
      </c>
      <c r="M61" s="67"/>
      <c r="N61" s="67"/>
      <c r="O61" s="67"/>
      <c r="P61" s="68" t="s">
        <v>97</v>
      </c>
      <c r="Q61" s="68"/>
      <c r="R61" s="68"/>
      <c r="S61" s="68"/>
      <c r="U61" s="62" t="s">
        <v>118</v>
      </c>
      <c r="V61" s="63"/>
      <c r="W61" s="63"/>
      <c r="X61" s="64"/>
      <c r="Y61" s="47">
        <v>8000</v>
      </c>
      <c r="Z61" s="65">
        <v>8000</v>
      </c>
      <c r="AA61" s="65"/>
      <c r="AB61" s="65"/>
      <c r="AC61" s="57">
        <v>8200</v>
      </c>
      <c r="AD61" s="58"/>
      <c r="AE61" s="58"/>
      <c r="AF61" s="59"/>
      <c r="AG61" s="66">
        <f t="shared" si="7"/>
        <v>200</v>
      </c>
      <c r="AH61" s="67"/>
      <c r="AI61" s="67"/>
      <c r="AJ61" s="67"/>
      <c r="AK61" s="68" t="s">
        <v>97</v>
      </c>
      <c r="AL61" s="68"/>
      <c r="AM61" s="68"/>
      <c r="AN61" s="68"/>
    </row>
    <row r="62" spans="1:40" ht="29" x14ac:dyDescent="0.35">
      <c r="A62" s="62" t="s">
        <v>87</v>
      </c>
      <c r="B62" s="63"/>
      <c r="C62" s="63"/>
      <c r="D62" s="64"/>
      <c r="E62" s="65">
        <v>9000</v>
      </c>
      <c r="F62" s="65"/>
      <c r="G62" s="65"/>
      <c r="H62" s="65">
        <v>2000</v>
      </c>
      <c r="I62" s="65"/>
      <c r="J62" s="65"/>
      <c r="K62" s="65"/>
      <c r="L62" s="66">
        <f t="shared" si="6"/>
        <v>7000</v>
      </c>
      <c r="M62" s="67"/>
      <c r="N62" s="67"/>
      <c r="O62" s="67"/>
      <c r="P62" s="68" t="s">
        <v>97</v>
      </c>
      <c r="Q62" s="68"/>
      <c r="R62" s="68"/>
      <c r="S62" s="68"/>
      <c r="U62" s="62" t="s">
        <v>119</v>
      </c>
      <c r="V62" s="63"/>
      <c r="W62" s="63"/>
      <c r="X62" s="64"/>
      <c r="Y62" s="47">
        <v>9000</v>
      </c>
      <c r="Z62" s="65">
        <v>9000</v>
      </c>
      <c r="AA62" s="65"/>
      <c r="AB62" s="65"/>
      <c r="AC62" s="65">
        <v>10000</v>
      </c>
      <c r="AD62" s="65"/>
      <c r="AE62" s="65"/>
      <c r="AF62" s="65"/>
      <c r="AG62" s="66">
        <f t="shared" si="7"/>
        <v>1000</v>
      </c>
      <c r="AH62" s="67"/>
      <c r="AI62" s="67"/>
      <c r="AJ62" s="67"/>
      <c r="AK62" s="68" t="s">
        <v>97</v>
      </c>
      <c r="AL62" s="68"/>
      <c r="AM62" s="68"/>
      <c r="AN62" s="68"/>
    </row>
    <row r="63" spans="1:40" ht="29" x14ac:dyDescent="0.35">
      <c r="A63" s="62" t="s">
        <v>88</v>
      </c>
      <c r="B63" s="63"/>
      <c r="C63" s="63"/>
      <c r="D63" s="64"/>
      <c r="E63" s="65">
        <v>10000</v>
      </c>
      <c r="F63" s="65"/>
      <c r="G63" s="65"/>
      <c r="H63" s="65">
        <v>22100</v>
      </c>
      <c r="I63" s="65"/>
      <c r="J63" s="65"/>
      <c r="K63" s="65"/>
      <c r="L63" s="66">
        <f t="shared" si="6"/>
        <v>-12100</v>
      </c>
      <c r="M63" s="67"/>
      <c r="N63" s="67"/>
      <c r="O63" s="67"/>
      <c r="P63" s="79" t="s">
        <v>101</v>
      </c>
      <c r="Q63" s="79"/>
      <c r="R63" s="79"/>
      <c r="S63" s="79"/>
      <c r="U63" s="62" t="s">
        <v>120</v>
      </c>
      <c r="V63" s="63"/>
      <c r="W63" s="63"/>
      <c r="X63" s="64"/>
      <c r="Y63" s="47">
        <v>10000</v>
      </c>
      <c r="Z63" s="65">
        <v>10000</v>
      </c>
      <c r="AA63" s="65"/>
      <c r="AB63" s="65"/>
      <c r="AC63" s="65">
        <v>10200</v>
      </c>
      <c r="AD63" s="65"/>
      <c r="AE63" s="65"/>
      <c r="AF63" s="65"/>
      <c r="AG63" s="66">
        <f t="shared" si="7"/>
        <v>200</v>
      </c>
      <c r="AH63" s="67"/>
      <c r="AI63" s="67"/>
      <c r="AJ63" s="67"/>
      <c r="AK63" s="68" t="s">
        <v>97</v>
      </c>
      <c r="AL63" s="68"/>
      <c r="AM63" s="68"/>
      <c r="AN63" s="68"/>
    </row>
    <row r="64" spans="1:40" ht="29" x14ac:dyDescent="0.35">
      <c r="A64" s="62" t="s">
        <v>89</v>
      </c>
      <c r="B64" s="63"/>
      <c r="C64" s="63"/>
      <c r="D64" s="64"/>
      <c r="E64" s="65">
        <v>11000</v>
      </c>
      <c r="F64" s="65"/>
      <c r="G64" s="65"/>
      <c r="H64" s="65">
        <v>2200</v>
      </c>
      <c r="I64" s="65"/>
      <c r="J64" s="65"/>
      <c r="K64" s="65"/>
      <c r="L64" s="66">
        <f t="shared" si="6"/>
        <v>8800</v>
      </c>
      <c r="M64" s="67"/>
      <c r="N64" s="67"/>
      <c r="O64" s="67"/>
      <c r="P64" s="68" t="s">
        <v>97</v>
      </c>
      <c r="Q64" s="68"/>
      <c r="R64" s="68"/>
      <c r="S64" s="68"/>
      <c r="U64" s="62" t="s">
        <v>121</v>
      </c>
      <c r="V64" s="63"/>
      <c r="W64" s="63"/>
      <c r="X64" s="64"/>
      <c r="Y64" s="47">
        <v>11000</v>
      </c>
      <c r="Z64" s="65">
        <v>11000</v>
      </c>
      <c r="AA64" s="65"/>
      <c r="AB64" s="65"/>
      <c r="AC64" s="57">
        <v>11200</v>
      </c>
      <c r="AD64" s="58"/>
      <c r="AE64" s="58"/>
      <c r="AF64" s="59"/>
      <c r="AG64" s="66">
        <f t="shared" si="7"/>
        <v>200</v>
      </c>
      <c r="AH64" s="67"/>
      <c r="AI64" s="67"/>
      <c r="AJ64" s="67"/>
      <c r="AK64" s="68" t="s">
        <v>97</v>
      </c>
      <c r="AL64" s="68"/>
      <c r="AM64" s="68"/>
      <c r="AN64" s="68"/>
    </row>
    <row r="65" spans="1:40" ht="29" x14ac:dyDescent="0.35">
      <c r="A65" s="62" t="s">
        <v>90</v>
      </c>
      <c r="B65" s="63"/>
      <c r="C65" s="63"/>
      <c r="D65" s="64"/>
      <c r="E65" s="65">
        <v>12000</v>
      </c>
      <c r="F65" s="65"/>
      <c r="G65" s="65"/>
      <c r="H65" s="65">
        <v>22300</v>
      </c>
      <c r="I65" s="65"/>
      <c r="J65" s="65"/>
      <c r="K65" s="65"/>
      <c r="L65" s="66">
        <f t="shared" si="6"/>
        <v>-10300</v>
      </c>
      <c r="M65" s="67"/>
      <c r="N65" s="67"/>
      <c r="O65" s="67"/>
      <c r="P65" s="79" t="s">
        <v>101</v>
      </c>
      <c r="Q65" s="79"/>
      <c r="R65" s="79"/>
      <c r="S65" s="79"/>
      <c r="U65" s="62" t="s">
        <v>122</v>
      </c>
      <c r="V65" s="63"/>
      <c r="W65" s="63"/>
      <c r="X65" s="64"/>
      <c r="Y65" s="47">
        <v>12000</v>
      </c>
      <c r="Z65" s="65">
        <v>12000</v>
      </c>
      <c r="AA65" s="65"/>
      <c r="AB65" s="65"/>
      <c r="AC65" s="65">
        <v>20000</v>
      </c>
      <c r="AD65" s="65"/>
      <c r="AE65" s="65"/>
      <c r="AF65" s="65"/>
      <c r="AG65" s="66">
        <f t="shared" si="7"/>
        <v>8000</v>
      </c>
      <c r="AH65" s="67"/>
      <c r="AI65" s="67"/>
      <c r="AJ65" s="67"/>
      <c r="AK65" s="68" t="s">
        <v>97</v>
      </c>
      <c r="AL65" s="68"/>
      <c r="AM65" s="68"/>
      <c r="AN65" s="68"/>
    </row>
    <row r="66" spans="1:40" ht="29" x14ac:dyDescent="0.35">
      <c r="A66" s="62" t="s">
        <v>91</v>
      </c>
      <c r="B66" s="63"/>
      <c r="C66" s="63"/>
      <c r="D66" s="64"/>
      <c r="E66" s="65">
        <v>13000</v>
      </c>
      <c r="F66" s="65"/>
      <c r="G66" s="65"/>
      <c r="H66" s="65">
        <v>22400</v>
      </c>
      <c r="I66" s="65"/>
      <c r="J66" s="65"/>
      <c r="K66" s="65"/>
      <c r="L66" s="66">
        <f t="shared" si="6"/>
        <v>-9400</v>
      </c>
      <c r="M66" s="67"/>
      <c r="N66" s="67"/>
      <c r="O66" s="67"/>
      <c r="P66" s="79" t="s">
        <v>101</v>
      </c>
      <c r="Q66" s="79"/>
      <c r="R66" s="79"/>
      <c r="S66" s="79"/>
      <c r="U66" s="62" t="s">
        <v>123</v>
      </c>
      <c r="V66" s="63"/>
      <c r="W66" s="63"/>
      <c r="X66" s="64"/>
      <c r="Y66" s="47">
        <v>13000</v>
      </c>
      <c r="Z66" s="65">
        <v>13000</v>
      </c>
      <c r="AA66" s="65"/>
      <c r="AB66" s="65"/>
      <c r="AC66" s="65">
        <v>13200</v>
      </c>
      <c r="AD66" s="65"/>
      <c r="AE66" s="65"/>
      <c r="AF66" s="65"/>
      <c r="AG66" s="66">
        <f t="shared" si="7"/>
        <v>200</v>
      </c>
      <c r="AH66" s="67"/>
      <c r="AI66" s="67"/>
      <c r="AJ66" s="67"/>
      <c r="AK66" s="68" t="s">
        <v>97</v>
      </c>
      <c r="AL66" s="68"/>
      <c r="AM66" s="68"/>
      <c r="AN66" s="68"/>
    </row>
    <row r="67" spans="1:40" ht="29" x14ac:dyDescent="0.35">
      <c r="A67" s="62" t="s">
        <v>92</v>
      </c>
      <c r="B67" s="63"/>
      <c r="C67" s="63"/>
      <c r="D67" s="64"/>
      <c r="E67" s="65">
        <v>14000</v>
      </c>
      <c r="F67" s="65"/>
      <c r="G67" s="65"/>
      <c r="H67" s="65">
        <v>2500</v>
      </c>
      <c r="I67" s="65"/>
      <c r="J67" s="65"/>
      <c r="K67" s="65"/>
      <c r="L67" s="66">
        <f t="shared" si="6"/>
        <v>11500</v>
      </c>
      <c r="M67" s="67"/>
      <c r="N67" s="67"/>
      <c r="O67" s="67"/>
      <c r="P67" s="68" t="s">
        <v>97</v>
      </c>
      <c r="Q67" s="68"/>
      <c r="R67" s="68"/>
      <c r="S67" s="68"/>
      <c r="U67" s="62" t="s">
        <v>124</v>
      </c>
      <c r="V67" s="63"/>
      <c r="W67" s="63"/>
      <c r="X67" s="64"/>
      <c r="Y67" s="47">
        <v>14000</v>
      </c>
      <c r="Z67" s="65">
        <v>14000</v>
      </c>
      <c r="AA67" s="65"/>
      <c r="AB67" s="65"/>
      <c r="AC67" s="57">
        <v>23000</v>
      </c>
      <c r="AD67" s="58"/>
      <c r="AE67" s="58"/>
      <c r="AF67" s="59"/>
      <c r="AG67" s="66">
        <f t="shared" si="7"/>
        <v>9000</v>
      </c>
      <c r="AH67" s="67"/>
      <c r="AI67" s="67"/>
      <c r="AJ67" s="67"/>
      <c r="AK67" s="68" t="s">
        <v>97</v>
      </c>
      <c r="AL67" s="68"/>
      <c r="AM67" s="68"/>
      <c r="AN67" s="68"/>
    </row>
    <row r="68" spans="1:40" ht="29" x14ac:dyDescent="0.35">
      <c r="A68" s="62" t="s">
        <v>93</v>
      </c>
      <c r="B68" s="63"/>
      <c r="C68" s="63"/>
      <c r="D68" s="64"/>
      <c r="E68" s="65">
        <v>15000</v>
      </c>
      <c r="F68" s="65"/>
      <c r="G68" s="65"/>
      <c r="H68" s="65">
        <v>2600</v>
      </c>
      <c r="I68" s="65"/>
      <c r="J68" s="65"/>
      <c r="K68" s="65"/>
      <c r="L68" s="66">
        <f t="shared" si="6"/>
        <v>12400</v>
      </c>
      <c r="M68" s="67"/>
      <c r="N68" s="67"/>
      <c r="O68" s="67"/>
      <c r="P68" s="68" t="s">
        <v>97</v>
      </c>
      <c r="Q68" s="68"/>
      <c r="R68" s="68"/>
      <c r="S68" s="68"/>
      <c r="U68" s="62" t="s">
        <v>125</v>
      </c>
      <c r="V68" s="63"/>
      <c r="W68" s="63"/>
      <c r="X68" s="64"/>
      <c r="Y68" s="47">
        <v>15000</v>
      </c>
      <c r="Z68" s="65">
        <v>15000</v>
      </c>
      <c r="AA68" s="65"/>
      <c r="AB68" s="65"/>
      <c r="AC68" s="65">
        <v>15200</v>
      </c>
      <c r="AD68" s="65"/>
      <c r="AE68" s="65"/>
      <c r="AF68" s="65"/>
      <c r="AG68" s="66">
        <f t="shared" si="7"/>
        <v>200</v>
      </c>
      <c r="AH68" s="67"/>
      <c r="AI68" s="67"/>
      <c r="AJ68" s="67"/>
      <c r="AK68" s="68" t="s">
        <v>97</v>
      </c>
      <c r="AL68" s="68"/>
      <c r="AM68" s="68"/>
      <c r="AN68" s="68"/>
    </row>
    <row r="69" spans="1:40" ht="29" x14ac:dyDescent="0.35">
      <c r="A69" s="62" t="s">
        <v>94</v>
      </c>
      <c r="B69" s="63"/>
      <c r="C69" s="63"/>
      <c r="D69" s="64"/>
      <c r="E69" s="65">
        <v>16000</v>
      </c>
      <c r="F69" s="65"/>
      <c r="G69" s="65"/>
      <c r="H69" s="65">
        <v>22700</v>
      </c>
      <c r="I69" s="65"/>
      <c r="J69" s="65"/>
      <c r="K69" s="65"/>
      <c r="L69" s="66">
        <f t="shared" si="6"/>
        <v>-6700</v>
      </c>
      <c r="M69" s="67"/>
      <c r="N69" s="67"/>
      <c r="O69" s="67"/>
      <c r="P69" s="79" t="s">
        <v>101</v>
      </c>
      <c r="Q69" s="79"/>
      <c r="R69" s="79"/>
      <c r="S69" s="79"/>
      <c r="U69" s="62" t="s">
        <v>126</v>
      </c>
      <c r="V69" s="63"/>
      <c r="W69" s="63"/>
      <c r="X69" s="64"/>
      <c r="Y69" s="47">
        <v>16000</v>
      </c>
      <c r="Z69" s="65">
        <v>16000</v>
      </c>
      <c r="AA69" s="65"/>
      <c r="AB69" s="65"/>
      <c r="AC69" s="65">
        <v>16200</v>
      </c>
      <c r="AD69" s="65"/>
      <c r="AE69" s="65"/>
      <c r="AF69" s="65"/>
      <c r="AG69" s="66">
        <f t="shared" si="7"/>
        <v>200</v>
      </c>
      <c r="AH69" s="67"/>
      <c r="AI69" s="67"/>
      <c r="AJ69" s="67"/>
      <c r="AK69" s="68" t="s">
        <v>97</v>
      </c>
      <c r="AL69" s="68"/>
      <c r="AM69" s="68"/>
      <c r="AN69" s="68"/>
    </row>
    <row r="70" spans="1:40" ht="29" x14ac:dyDescent="0.35">
      <c r="A70" s="62" t="s">
        <v>95</v>
      </c>
      <c r="B70" s="63"/>
      <c r="C70" s="63"/>
      <c r="D70" s="64"/>
      <c r="E70" s="65">
        <v>17000</v>
      </c>
      <c r="F70" s="65"/>
      <c r="G70" s="65"/>
      <c r="H70" s="65">
        <v>2800</v>
      </c>
      <c r="I70" s="65"/>
      <c r="J70" s="65"/>
      <c r="K70" s="65"/>
      <c r="L70" s="66">
        <f t="shared" si="6"/>
        <v>14200</v>
      </c>
      <c r="M70" s="67"/>
      <c r="N70" s="67"/>
      <c r="O70" s="67"/>
      <c r="P70" s="68" t="s">
        <v>97</v>
      </c>
      <c r="Q70" s="68"/>
      <c r="R70" s="68"/>
      <c r="S70" s="68"/>
      <c r="U70" s="62" t="s">
        <v>127</v>
      </c>
      <c r="V70" s="63"/>
      <c r="W70" s="63"/>
      <c r="X70" s="64"/>
      <c r="Y70" s="47">
        <v>17000</v>
      </c>
      <c r="Z70" s="65">
        <v>17000</v>
      </c>
      <c r="AA70" s="65"/>
      <c r="AB70" s="65"/>
      <c r="AC70" s="57">
        <v>17200</v>
      </c>
      <c r="AD70" s="58"/>
      <c r="AE70" s="58"/>
      <c r="AF70" s="59"/>
      <c r="AG70" s="66">
        <f t="shared" si="7"/>
        <v>200</v>
      </c>
      <c r="AH70" s="67"/>
      <c r="AI70" s="67"/>
      <c r="AJ70" s="67"/>
      <c r="AK70" s="68" t="s">
        <v>97</v>
      </c>
      <c r="AL70" s="68"/>
      <c r="AM70" s="68"/>
      <c r="AN70" s="68"/>
    </row>
    <row r="71" spans="1:40" ht="29" x14ac:dyDescent="0.35">
      <c r="A71" s="62" t="s">
        <v>96</v>
      </c>
      <c r="B71" s="63"/>
      <c r="C71" s="63"/>
      <c r="D71" s="64"/>
      <c r="E71" s="65">
        <v>18000</v>
      </c>
      <c r="F71" s="65"/>
      <c r="G71" s="65"/>
      <c r="H71" s="65">
        <v>2900</v>
      </c>
      <c r="I71" s="65"/>
      <c r="J71" s="65"/>
      <c r="K71" s="65"/>
      <c r="L71" s="66">
        <f t="shared" si="6"/>
        <v>15100</v>
      </c>
      <c r="M71" s="67"/>
      <c r="N71" s="67"/>
      <c r="O71" s="67"/>
      <c r="P71" s="68" t="s">
        <v>97</v>
      </c>
      <c r="Q71" s="68"/>
      <c r="R71" s="68"/>
      <c r="S71" s="68"/>
      <c r="U71" s="62" t="s">
        <v>128</v>
      </c>
      <c r="V71" s="63"/>
      <c r="W71" s="63"/>
      <c r="X71" s="64"/>
      <c r="Y71" s="47">
        <v>18000</v>
      </c>
      <c r="Z71" s="65">
        <v>18000</v>
      </c>
      <c r="AA71" s="65"/>
      <c r="AB71" s="65"/>
      <c r="AC71" s="65">
        <v>18200</v>
      </c>
      <c r="AD71" s="65"/>
      <c r="AE71" s="65"/>
      <c r="AF71" s="65"/>
      <c r="AG71" s="66">
        <f t="shared" si="7"/>
        <v>200</v>
      </c>
      <c r="AH71" s="67"/>
      <c r="AI71" s="67"/>
      <c r="AJ71" s="67"/>
      <c r="AK71" s="68" t="s">
        <v>97</v>
      </c>
      <c r="AL71" s="68"/>
      <c r="AM71" s="68"/>
      <c r="AN71" s="68"/>
    </row>
    <row r="72" spans="1:40" ht="29" x14ac:dyDescent="0.35">
      <c r="A72" s="69"/>
      <c r="B72" s="69"/>
      <c r="C72" s="69"/>
      <c r="D72" s="69"/>
      <c r="E72" s="70">
        <f>AVERAGE(E54:G71)</f>
        <v>9500</v>
      </c>
      <c r="F72" s="71"/>
      <c r="G72" s="71"/>
      <c r="H72" s="70">
        <f>AVERAGE(H54:K71)</f>
        <v>6494.4444444444443</v>
      </c>
      <c r="I72" s="71"/>
      <c r="J72" s="71"/>
      <c r="K72" s="71"/>
      <c r="L72" s="70">
        <f>AVERAGE(L54:O71)</f>
        <v>3005.5555555555557</v>
      </c>
      <c r="M72" s="71"/>
      <c r="N72" s="71"/>
      <c r="O72" s="71"/>
      <c r="U72" s="69"/>
      <c r="V72" s="69"/>
      <c r="W72" s="69"/>
      <c r="X72" s="69"/>
      <c r="Y72" s="46"/>
      <c r="Z72" s="70">
        <f>AVERAGE(Z54:AB71)</f>
        <v>9500</v>
      </c>
      <c r="AA72" s="71"/>
      <c r="AB72" s="71"/>
      <c r="AC72" s="70">
        <f>AVERAGE(AC54:AF71)</f>
        <v>10700</v>
      </c>
      <c r="AD72" s="71"/>
      <c r="AE72" s="71"/>
      <c r="AF72" s="71"/>
      <c r="AG72" s="70">
        <f>AVERAGE(AG54:AJ71)</f>
        <v>1200</v>
      </c>
      <c r="AH72" s="71"/>
      <c r="AI72" s="71"/>
      <c r="AJ72" s="71"/>
    </row>
    <row r="73" spans="1:40" ht="16" customHeight="1" x14ac:dyDescent="0.2">
      <c r="A73" s="72" t="s">
        <v>98</v>
      </c>
      <c r="B73" s="72"/>
      <c r="C73" s="72">
        <f>COUNTA(A54:D71)</f>
        <v>18</v>
      </c>
      <c r="D73" s="72"/>
      <c r="E73" s="73" t="s">
        <v>99</v>
      </c>
      <c r="F73" s="87">
        <f>SUM(E54:G71)</f>
        <v>171000</v>
      </c>
      <c r="G73" s="73"/>
      <c r="H73" s="75" t="s">
        <v>100</v>
      </c>
      <c r="I73" s="75"/>
      <c r="J73" s="76">
        <f>SUM(H54:K71)</f>
        <v>116900</v>
      </c>
      <c r="K73" s="75"/>
      <c r="L73" s="50" t="s">
        <v>102</v>
      </c>
      <c r="M73" s="50"/>
      <c r="N73" s="49">
        <f>F73-J73</f>
        <v>54100</v>
      </c>
      <c r="O73" s="50"/>
      <c r="P73" s="50" t="s">
        <v>104</v>
      </c>
      <c r="Q73" s="50"/>
      <c r="R73" s="49" t="str">
        <f>IF(N73&gt;=50000,"Good","Bad")</f>
        <v>Good</v>
      </c>
      <c r="S73" s="50"/>
      <c r="U73" s="72" t="s">
        <v>98</v>
      </c>
      <c r="V73" s="72"/>
      <c r="W73" s="72">
        <f>COUNTA(U54:X71)</f>
        <v>18</v>
      </c>
      <c r="X73" s="72"/>
      <c r="Y73" s="73" t="s">
        <v>135</v>
      </c>
      <c r="Z73" s="74">
        <f>SUM(Y54:Y71)</f>
        <v>171000</v>
      </c>
      <c r="AA73" s="74"/>
      <c r="AB73" s="75" t="s">
        <v>100</v>
      </c>
      <c r="AC73" s="75"/>
      <c r="AD73" s="76">
        <f>SUM(Z54:AB71)</f>
        <v>171000</v>
      </c>
      <c r="AE73" s="75"/>
      <c r="AF73" s="50" t="s">
        <v>136</v>
      </c>
      <c r="AG73" s="50"/>
      <c r="AH73" s="49">
        <f>SUM(AG54:AJ71)</f>
        <v>21600</v>
      </c>
      <c r="AI73" s="50"/>
      <c r="AJ73" s="50" t="s">
        <v>104</v>
      </c>
      <c r="AK73" s="50"/>
      <c r="AL73" s="49" t="str">
        <f>IF(AH73&gt;0,"Profit","Loss")</f>
        <v>Profit</v>
      </c>
      <c r="AM73" s="50"/>
    </row>
    <row r="74" spans="1:40" ht="16" customHeight="1" x14ac:dyDescent="0.2">
      <c r="A74" s="72"/>
      <c r="B74" s="72"/>
      <c r="C74" s="72"/>
      <c r="D74" s="72"/>
      <c r="E74" s="73"/>
      <c r="F74" s="73"/>
      <c r="G74" s="73"/>
      <c r="H74" s="75"/>
      <c r="I74" s="75"/>
      <c r="J74" s="75"/>
      <c r="K74" s="75"/>
      <c r="L74" s="50"/>
      <c r="M74" s="50"/>
      <c r="N74" s="50"/>
      <c r="O74" s="50"/>
      <c r="P74" s="50"/>
      <c r="Q74" s="50"/>
      <c r="R74" s="50"/>
      <c r="S74" s="50"/>
      <c r="U74" s="72"/>
      <c r="V74" s="72"/>
      <c r="W74" s="72"/>
      <c r="X74" s="72"/>
      <c r="Y74" s="73"/>
      <c r="Z74" s="74"/>
      <c r="AA74" s="74"/>
      <c r="AB74" s="75"/>
      <c r="AC74" s="75"/>
      <c r="AD74" s="75"/>
      <c r="AE74" s="75"/>
      <c r="AF74" s="50"/>
      <c r="AG74" s="50"/>
      <c r="AH74" s="50"/>
      <c r="AI74" s="50"/>
      <c r="AJ74" s="50"/>
      <c r="AK74" s="50"/>
      <c r="AL74" s="50"/>
      <c r="AM74" s="50"/>
    </row>
    <row r="75" spans="1:40" ht="16" customHeight="1" x14ac:dyDescent="0.2">
      <c r="A75" s="10"/>
      <c r="B75" s="10"/>
      <c r="C75" s="10"/>
      <c r="D75" s="10"/>
      <c r="E75" s="51" t="s">
        <v>106</v>
      </c>
      <c r="F75" s="51"/>
      <c r="G75" s="51"/>
      <c r="H75" s="52">
        <f>_xlfn.PERCENTOF(J73,F73)</f>
        <v>0.68362573099415203</v>
      </c>
      <c r="I75" s="52"/>
      <c r="J75" s="53" t="s">
        <v>107</v>
      </c>
      <c r="K75" s="53"/>
      <c r="L75" s="53"/>
      <c r="M75" s="54">
        <f>1-H75</f>
        <v>0.31637426900584797</v>
      </c>
      <c r="N75" s="54"/>
      <c r="O75" s="48"/>
      <c r="U75" s="10"/>
      <c r="V75" s="10"/>
      <c r="W75" s="60" t="s">
        <v>139</v>
      </c>
      <c r="X75" s="60"/>
      <c r="Y75" s="61">
        <f>MAX(AG54:AJ71)</f>
        <v>9000</v>
      </c>
      <c r="Z75" s="51" t="s">
        <v>137</v>
      </c>
      <c r="AA75" s="51"/>
      <c r="AB75" s="51"/>
      <c r="AC75" s="52">
        <f>_xlfn.PERCENTOF(AH73,AD73)</f>
        <v>0.12631578947368421</v>
      </c>
      <c r="AD75" s="52"/>
      <c r="AE75" s="53" t="s">
        <v>138</v>
      </c>
      <c r="AF75" s="53"/>
      <c r="AG75" s="53"/>
      <c r="AH75" s="54" t="s">
        <v>128</v>
      </c>
      <c r="AI75" s="54"/>
      <c r="AJ75" s="48"/>
    </row>
    <row r="76" spans="1:40" x14ac:dyDescent="0.2">
      <c r="E76" s="51"/>
      <c r="F76" s="51"/>
      <c r="G76" s="51"/>
      <c r="H76" s="52"/>
      <c r="I76" s="52"/>
      <c r="J76" s="53"/>
      <c r="K76" s="53"/>
      <c r="L76" s="53"/>
      <c r="M76" s="54"/>
      <c r="N76" s="54"/>
      <c r="W76" s="60"/>
      <c r="X76" s="60"/>
      <c r="Y76" s="60"/>
      <c r="Z76" s="51"/>
      <c r="AA76" s="51"/>
      <c r="AB76" s="51"/>
      <c r="AC76" s="52"/>
      <c r="AD76" s="52"/>
      <c r="AE76" s="53"/>
      <c r="AF76" s="53"/>
      <c r="AG76" s="53"/>
      <c r="AH76" s="54"/>
      <c r="AI76" s="54"/>
    </row>
    <row r="79" spans="1:40" ht="32" x14ac:dyDescent="0.4">
      <c r="I79" s="45"/>
    </row>
    <row r="101" spans="1:20" x14ac:dyDescent="0.2">
      <c r="A101" s="77" t="s">
        <v>140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</row>
    <row r="102" spans="1:20" x14ac:dyDescent="0.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</row>
    <row r="103" spans="1:20" x14ac:dyDescent="0.2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</row>
    <row r="106" spans="1:20" x14ac:dyDescent="0.2">
      <c r="A106" s="78" t="s">
        <v>129</v>
      </c>
      <c r="B106" s="78"/>
      <c r="C106" s="78"/>
      <c r="D106" s="78"/>
      <c r="E106" s="55" t="s">
        <v>131</v>
      </c>
      <c r="F106" s="78" t="s">
        <v>130</v>
      </c>
      <c r="G106" s="78"/>
      <c r="H106" s="78"/>
      <c r="I106" s="78" t="s">
        <v>132</v>
      </c>
      <c r="J106" s="78"/>
      <c r="K106" s="78"/>
      <c r="L106" s="78"/>
      <c r="M106" s="78" t="s">
        <v>133</v>
      </c>
      <c r="N106" s="78"/>
      <c r="O106" s="78"/>
      <c r="P106" s="78"/>
      <c r="Q106" s="78" t="s">
        <v>105</v>
      </c>
      <c r="R106" s="78"/>
      <c r="S106" s="78"/>
      <c r="T106" s="78"/>
    </row>
    <row r="107" spans="1:20" x14ac:dyDescent="0.2">
      <c r="A107" s="78"/>
      <c r="B107" s="78"/>
      <c r="C107" s="78"/>
      <c r="D107" s="78"/>
      <c r="E107" s="56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</row>
    <row r="108" spans="1:20" ht="29" x14ac:dyDescent="0.35">
      <c r="A108" s="62" t="s">
        <v>141</v>
      </c>
      <c r="B108" s="63"/>
      <c r="C108" s="63"/>
      <c r="D108" s="64"/>
      <c r="E108" s="47">
        <v>1000</v>
      </c>
      <c r="F108" s="65">
        <v>1000</v>
      </c>
      <c r="G108" s="65"/>
      <c r="H108" s="65"/>
      <c r="I108" s="65">
        <v>1000</v>
      </c>
      <c r="J108" s="65"/>
      <c r="K108" s="65"/>
      <c r="L108" s="65"/>
      <c r="M108" s="66">
        <f>I108-F108</f>
        <v>0</v>
      </c>
      <c r="N108" s="67"/>
      <c r="O108" s="67"/>
      <c r="P108" s="67"/>
      <c r="Q108" s="79" t="s">
        <v>134</v>
      </c>
      <c r="R108" s="79"/>
      <c r="S108" s="79"/>
      <c r="T108" s="79"/>
    </row>
    <row r="109" spans="1:20" ht="29" x14ac:dyDescent="0.35">
      <c r="A109" s="62" t="s">
        <v>142</v>
      </c>
      <c r="B109" s="63"/>
      <c r="C109" s="63"/>
      <c r="D109" s="64"/>
      <c r="E109" s="47">
        <v>2000</v>
      </c>
      <c r="F109" s="65">
        <v>2000</v>
      </c>
      <c r="G109" s="65"/>
      <c r="H109" s="65"/>
      <c r="I109" s="57">
        <v>2200</v>
      </c>
      <c r="J109" s="58"/>
      <c r="K109" s="58"/>
      <c r="L109" s="59"/>
      <c r="M109" s="66">
        <f t="shared" ref="M109:M125" si="8">I109-F109</f>
        <v>200</v>
      </c>
      <c r="N109" s="67"/>
      <c r="O109" s="67"/>
      <c r="P109" s="67"/>
      <c r="Q109" s="68" t="s">
        <v>97</v>
      </c>
      <c r="R109" s="68"/>
      <c r="S109" s="68"/>
      <c r="T109" s="68"/>
    </row>
    <row r="110" spans="1:20" ht="29" x14ac:dyDescent="0.35">
      <c r="A110" s="62" t="s">
        <v>141</v>
      </c>
      <c r="B110" s="63"/>
      <c r="C110" s="63"/>
      <c r="D110" s="64"/>
      <c r="E110" s="47">
        <v>3000</v>
      </c>
      <c r="F110" s="65">
        <v>3000</v>
      </c>
      <c r="G110" s="65"/>
      <c r="H110" s="65"/>
      <c r="I110" s="65">
        <v>3200</v>
      </c>
      <c r="J110" s="65"/>
      <c r="K110" s="65"/>
      <c r="L110" s="65"/>
      <c r="M110" s="66">
        <f t="shared" si="8"/>
        <v>200</v>
      </c>
      <c r="N110" s="67"/>
      <c r="O110" s="67"/>
      <c r="P110" s="67"/>
      <c r="Q110" s="68" t="s">
        <v>97</v>
      </c>
      <c r="R110" s="68"/>
      <c r="S110" s="68"/>
      <c r="T110" s="68"/>
    </row>
    <row r="111" spans="1:20" ht="29" x14ac:dyDescent="0.35">
      <c r="A111" s="62" t="s">
        <v>142</v>
      </c>
      <c r="B111" s="63"/>
      <c r="C111" s="63"/>
      <c r="D111" s="64"/>
      <c r="E111" s="47">
        <v>4000</v>
      </c>
      <c r="F111" s="65">
        <v>4000</v>
      </c>
      <c r="G111" s="65"/>
      <c r="H111" s="65"/>
      <c r="I111" s="65">
        <v>4200</v>
      </c>
      <c r="J111" s="65"/>
      <c r="K111" s="65"/>
      <c r="L111" s="65"/>
      <c r="M111" s="66">
        <f t="shared" si="8"/>
        <v>200</v>
      </c>
      <c r="N111" s="67"/>
      <c r="O111" s="67"/>
      <c r="P111" s="67"/>
      <c r="Q111" s="68" t="s">
        <v>97</v>
      </c>
      <c r="R111" s="68"/>
      <c r="S111" s="68"/>
      <c r="T111" s="68"/>
    </row>
    <row r="112" spans="1:20" ht="29" x14ac:dyDescent="0.35">
      <c r="A112" s="62" t="s">
        <v>141</v>
      </c>
      <c r="B112" s="63"/>
      <c r="C112" s="63"/>
      <c r="D112" s="64"/>
      <c r="E112" s="47">
        <v>5000</v>
      </c>
      <c r="F112" s="65">
        <v>5000</v>
      </c>
      <c r="G112" s="65"/>
      <c r="H112" s="65"/>
      <c r="I112" s="57">
        <v>5200</v>
      </c>
      <c r="J112" s="58"/>
      <c r="K112" s="58"/>
      <c r="L112" s="59"/>
      <c r="M112" s="66">
        <f t="shared" si="8"/>
        <v>200</v>
      </c>
      <c r="N112" s="67"/>
      <c r="O112" s="67"/>
      <c r="P112" s="67"/>
      <c r="Q112" s="68" t="s">
        <v>97</v>
      </c>
      <c r="R112" s="68"/>
      <c r="S112" s="68"/>
      <c r="T112" s="68"/>
    </row>
    <row r="113" spans="1:20" ht="29" x14ac:dyDescent="0.35">
      <c r="A113" s="62" t="s">
        <v>142</v>
      </c>
      <c r="B113" s="63"/>
      <c r="C113" s="63"/>
      <c r="D113" s="64"/>
      <c r="E113" s="47">
        <v>6000</v>
      </c>
      <c r="F113" s="65">
        <v>6000</v>
      </c>
      <c r="G113" s="65"/>
      <c r="H113" s="65"/>
      <c r="I113" s="65">
        <v>6200</v>
      </c>
      <c r="J113" s="65"/>
      <c r="K113" s="65"/>
      <c r="L113" s="65"/>
      <c r="M113" s="66">
        <f t="shared" si="8"/>
        <v>200</v>
      </c>
      <c r="N113" s="67"/>
      <c r="O113" s="67"/>
      <c r="P113" s="67"/>
      <c r="Q113" s="68" t="s">
        <v>97</v>
      </c>
      <c r="R113" s="68"/>
      <c r="S113" s="68"/>
      <c r="T113" s="68"/>
    </row>
    <row r="114" spans="1:20" ht="29" x14ac:dyDescent="0.35">
      <c r="A114" s="62" t="s">
        <v>141</v>
      </c>
      <c r="B114" s="63"/>
      <c r="C114" s="63"/>
      <c r="D114" s="64"/>
      <c r="E114" s="47">
        <v>7000</v>
      </c>
      <c r="F114" s="65">
        <v>7000</v>
      </c>
      <c r="G114" s="65"/>
      <c r="H114" s="65"/>
      <c r="I114" s="65">
        <v>8000</v>
      </c>
      <c r="J114" s="65"/>
      <c r="K114" s="65"/>
      <c r="L114" s="65"/>
      <c r="M114" s="66">
        <f t="shared" si="8"/>
        <v>1000</v>
      </c>
      <c r="N114" s="67"/>
      <c r="O114" s="67"/>
      <c r="P114" s="67"/>
      <c r="Q114" s="68" t="s">
        <v>97</v>
      </c>
      <c r="R114" s="68"/>
      <c r="S114" s="68"/>
      <c r="T114" s="68"/>
    </row>
    <row r="115" spans="1:20" ht="29" x14ac:dyDescent="0.35">
      <c r="A115" s="62" t="s">
        <v>142</v>
      </c>
      <c r="B115" s="63"/>
      <c r="C115" s="63"/>
      <c r="D115" s="64"/>
      <c r="E115" s="47">
        <v>8000</v>
      </c>
      <c r="F115" s="65">
        <v>8000</v>
      </c>
      <c r="G115" s="65"/>
      <c r="H115" s="65"/>
      <c r="I115" s="57">
        <v>8200</v>
      </c>
      <c r="J115" s="58"/>
      <c r="K115" s="58"/>
      <c r="L115" s="59"/>
      <c r="M115" s="66">
        <f t="shared" si="8"/>
        <v>200</v>
      </c>
      <c r="N115" s="67"/>
      <c r="O115" s="67"/>
      <c r="P115" s="67"/>
      <c r="Q115" s="68" t="s">
        <v>97</v>
      </c>
      <c r="R115" s="68"/>
      <c r="S115" s="68"/>
      <c r="T115" s="68"/>
    </row>
    <row r="116" spans="1:20" ht="29" x14ac:dyDescent="0.35">
      <c r="A116" s="62" t="s">
        <v>141</v>
      </c>
      <c r="B116" s="63"/>
      <c r="C116" s="63"/>
      <c r="D116" s="64"/>
      <c r="E116" s="47">
        <v>9000</v>
      </c>
      <c r="F116" s="65">
        <v>9000</v>
      </c>
      <c r="G116" s="65"/>
      <c r="H116" s="65"/>
      <c r="I116" s="65">
        <v>10000</v>
      </c>
      <c r="J116" s="65"/>
      <c r="K116" s="65"/>
      <c r="L116" s="65"/>
      <c r="M116" s="66">
        <f t="shared" si="8"/>
        <v>1000</v>
      </c>
      <c r="N116" s="67"/>
      <c r="O116" s="67"/>
      <c r="P116" s="67"/>
      <c r="Q116" s="68" t="s">
        <v>97</v>
      </c>
      <c r="R116" s="68"/>
      <c r="S116" s="68"/>
      <c r="T116" s="68"/>
    </row>
    <row r="117" spans="1:20" ht="29" x14ac:dyDescent="0.35">
      <c r="A117" s="62" t="s">
        <v>142</v>
      </c>
      <c r="B117" s="63"/>
      <c r="C117" s="63"/>
      <c r="D117" s="64"/>
      <c r="E117" s="47">
        <v>10000</v>
      </c>
      <c r="F117" s="65">
        <v>10000</v>
      </c>
      <c r="G117" s="65"/>
      <c r="H117" s="65"/>
      <c r="I117" s="65">
        <v>10200</v>
      </c>
      <c r="J117" s="65"/>
      <c r="K117" s="65"/>
      <c r="L117" s="65"/>
      <c r="M117" s="66">
        <f t="shared" si="8"/>
        <v>200</v>
      </c>
      <c r="N117" s="67"/>
      <c r="O117" s="67"/>
      <c r="P117" s="67"/>
      <c r="Q117" s="68" t="s">
        <v>97</v>
      </c>
      <c r="R117" s="68"/>
      <c r="S117" s="68"/>
      <c r="T117" s="68"/>
    </row>
    <row r="118" spans="1:20" ht="29" x14ac:dyDescent="0.35">
      <c r="A118" s="62" t="s">
        <v>141</v>
      </c>
      <c r="B118" s="63"/>
      <c r="C118" s="63"/>
      <c r="D118" s="64"/>
      <c r="E118" s="47">
        <v>11000</v>
      </c>
      <c r="F118" s="65">
        <v>11000</v>
      </c>
      <c r="G118" s="65"/>
      <c r="H118" s="65"/>
      <c r="I118" s="57">
        <v>11200</v>
      </c>
      <c r="J118" s="58"/>
      <c r="K118" s="58"/>
      <c r="L118" s="59"/>
      <c r="M118" s="66">
        <f t="shared" si="8"/>
        <v>200</v>
      </c>
      <c r="N118" s="67"/>
      <c r="O118" s="67"/>
      <c r="P118" s="67"/>
      <c r="Q118" s="68" t="s">
        <v>97</v>
      </c>
      <c r="R118" s="68"/>
      <c r="S118" s="68"/>
      <c r="T118" s="68"/>
    </row>
    <row r="119" spans="1:20" ht="29" x14ac:dyDescent="0.35">
      <c r="A119" s="62" t="s">
        <v>142</v>
      </c>
      <c r="B119" s="63"/>
      <c r="C119" s="63"/>
      <c r="D119" s="64"/>
      <c r="E119" s="47">
        <v>12000</v>
      </c>
      <c r="F119" s="65">
        <v>12000</v>
      </c>
      <c r="G119" s="65"/>
      <c r="H119" s="65"/>
      <c r="I119" s="65">
        <v>20000</v>
      </c>
      <c r="J119" s="65"/>
      <c r="K119" s="65"/>
      <c r="L119" s="65"/>
      <c r="M119" s="66">
        <f t="shared" si="8"/>
        <v>8000</v>
      </c>
      <c r="N119" s="67"/>
      <c r="O119" s="67"/>
      <c r="P119" s="67"/>
      <c r="Q119" s="68" t="s">
        <v>97</v>
      </c>
      <c r="R119" s="68"/>
      <c r="S119" s="68"/>
      <c r="T119" s="68"/>
    </row>
    <row r="120" spans="1:20" ht="29" x14ac:dyDescent="0.35">
      <c r="A120" s="62" t="s">
        <v>141</v>
      </c>
      <c r="B120" s="63"/>
      <c r="C120" s="63"/>
      <c r="D120" s="64"/>
      <c r="E120" s="47">
        <v>13000</v>
      </c>
      <c r="F120" s="65">
        <v>13000</v>
      </c>
      <c r="G120" s="65"/>
      <c r="H120" s="65"/>
      <c r="I120" s="65">
        <v>13200</v>
      </c>
      <c r="J120" s="65"/>
      <c r="K120" s="65"/>
      <c r="L120" s="65"/>
      <c r="M120" s="66">
        <f t="shared" si="8"/>
        <v>200</v>
      </c>
      <c r="N120" s="67"/>
      <c r="O120" s="67"/>
      <c r="P120" s="67"/>
      <c r="Q120" s="68" t="s">
        <v>97</v>
      </c>
      <c r="R120" s="68"/>
      <c r="S120" s="68"/>
      <c r="T120" s="68"/>
    </row>
    <row r="121" spans="1:20" ht="29" x14ac:dyDescent="0.35">
      <c r="A121" s="62" t="s">
        <v>142</v>
      </c>
      <c r="B121" s="63"/>
      <c r="C121" s="63"/>
      <c r="D121" s="64"/>
      <c r="E121" s="47">
        <v>14000</v>
      </c>
      <c r="F121" s="65">
        <v>14000</v>
      </c>
      <c r="G121" s="65"/>
      <c r="H121" s="65"/>
      <c r="I121" s="57">
        <v>23000</v>
      </c>
      <c r="J121" s="58"/>
      <c r="K121" s="58"/>
      <c r="L121" s="59"/>
      <c r="M121" s="66">
        <f t="shared" si="8"/>
        <v>9000</v>
      </c>
      <c r="N121" s="67"/>
      <c r="O121" s="67"/>
      <c r="P121" s="67"/>
      <c r="Q121" s="68" t="s">
        <v>97</v>
      </c>
      <c r="R121" s="68"/>
      <c r="S121" s="68"/>
      <c r="T121" s="68"/>
    </row>
    <row r="122" spans="1:20" ht="29" x14ac:dyDescent="0.35">
      <c r="A122" s="62" t="s">
        <v>141</v>
      </c>
      <c r="B122" s="63"/>
      <c r="C122" s="63"/>
      <c r="D122" s="64"/>
      <c r="E122" s="47">
        <v>15000</v>
      </c>
      <c r="F122" s="65">
        <v>15000</v>
      </c>
      <c r="G122" s="65"/>
      <c r="H122" s="65"/>
      <c r="I122" s="65">
        <v>15200</v>
      </c>
      <c r="J122" s="65"/>
      <c r="K122" s="65"/>
      <c r="L122" s="65"/>
      <c r="M122" s="66">
        <f t="shared" si="8"/>
        <v>200</v>
      </c>
      <c r="N122" s="67"/>
      <c r="O122" s="67"/>
      <c r="P122" s="67"/>
      <c r="Q122" s="68" t="s">
        <v>97</v>
      </c>
      <c r="R122" s="68"/>
      <c r="S122" s="68"/>
      <c r="T122" s="68"/>
    </row>
    <row r="123" spans="1:20" ht="29" x14ac:dyDescent="0.35">
      <c r="A123" s="62" t="s">
        <v>142</v>
      </c>
      <c r="B123" s="63"/>
      <c r="C123" s="63"/>
      <c r="D123" s="64"/>
      <c r="E123" s="47">
        <v>16000</v>
      </c>
      <c r="F123" s="65">
        <v>16000</v>
      </c>
      <c r="G123" s="65"/>
      <c r="H123" s="65"/>
      <c r="I123" s="65">
        <v>16200</v>
      </c>
      <c r="J123" s="65"/>
      <c r="K123" s="65"/>
      <c r="L123" s="65"/>
      <c r="M123" s="66">
        <f t="shared" si="8"/>
        <v>200</v>
      </c>
      <c r="N123" s="67"/>
      <c r="O123" s="67"/>
      <c r="P123" s="67"/>
      <c r="Q123" s="68" t="s">
        <v>97</v>
      </c>
      <c r="R123" s="68"/>
      <c r="S123" s="68"/>
      <c r="T123" s="68"/>
    </row>
    <row r="124" spans="1:20" ht="29" x14ac:dyDescent="0.35">
      <c r="A124" s="62" t="s">
        <v>141</v>
      </c>
      <c r="B124" s="63"/>
      <c r="C124" s="63"/>
      <c r="D124" s="64"/>
      <c r="E124" s="47">
        <v>17000</v>
      </c>
      <c r="F124" s="65">
        <v>17000</v>
      </c>
      <c r="G124" s="65"/>
      <c r="H124" s="65"/>
      <c r="I124" s="57">
        <v>17200</v>
      </c>
      <c r="J124" s="58"/>
      <c r="K124" s="58"/>
      <c r="L124" s="59"/>
      <c r="M124" s="66">
        <f t="shared" si="8"/>
        <v>200</v>
      </c>
      <c r="N124" s="67"/>
      <c r="O124" s="67"/>
      <c r="P124" s="67"/>
      <c r="Q124" s="68" t="s">
        <v>97</v>
      </c>
      <c r="R124" s="68"/>
      <c r="S124" s="68"/>
      <c r="T124" s="68"/>
    </row>
    <row r="125" spans="1:20" ht="29" x14ac:dyDescent="0.35">
      <c r="A125" s="62" t="s">
        <v>142</v>
      </c>
      <c r="B125" s="63"/>
      <c r="C125" s="63"/>
      <c r="D125" s="64"/>
      <c r="E125" s="47">
        <v>18000</v>
      </c>
      <c r="F125" s="65">
        <v>18000</v>
      </c>
      <c r="G125" s="65"/>
      <c r="H125" s="65"/>
      <c r="I125" s="65">
        <v>18200</v>
      </c>
      <c r="J125" s="65"/>
      <c r="K125" s="65"/>
      <c r="L125" s="65"/>
      <c r="M125" s="66">
        <f t="shared" si="8"/>
        <v>200</v>
      </c>
      <c r="N125" s="67"/>
      <c r="O125" s="67"/>
      <c r="P125" s="67"/>
      <c r="Q125" s="68" t="s">
        <v>97</v>
      </c>
      <c r="R125" s="68"/>
      <c r="S125" s="68"/>
      <c r="T125" s="68"/>
    </row>
    <row r="126" spans="1:20" ht="29" x14ac:dyDescent="0.35">
      <c r="A126" s="69"/>
      <c r="B126" s="69"/>
      <c r="C126" s="69"/>
      <c r="D126" s="69"/>
      <c r="E126" s="46"/>
      <c r="F126" s="70">
        <f>AVERAGE(F108:H125)</f>
        <v>9500</v>
      </c>
      <c r="G126" s="71"/>
      <c r="H126" s="71"/>
      <c r="I126" s="70">
        <f>AVERAGE(I108:L125)</f>
        <v>10700</v>
      </c>
      <c r="J126" s="71"/>
      <c r="K126" s="71"/>
      <c r="L126" s="71"/>
      <c r="M126" s="70">
        <f>AVERAGE(M108:P125)</f>
        <v>1200</v>
      </c>
      <c r="N126" s="71"/>
      <c r="O126" s="71"/>
      <c r="P126" s="71"/>
    </row>
    <row r="127" spans="1:20" x14ac:dyDescent="0.2">
      <c r="A127" s="72" t="s">
        <v>98</v>
      </c>
      <c r="B127" s="72"/>
      <c r="C127" s="72">
        <f>COUNTA(A108:D125)</f>
        <v>18</v>
      </c>
      <c r="D127" s="72"/>
      <c r="E127" s="73" t="s">
        <v>135</v>
      </c>
      <c r="F127" s="74">
        <f>SUM(E108:E125)</f>
        <v>171000</v>
      </c>
      <c r="G127" s="74"/>
      <c r="H127" s="75" t="s">
        <v>100</v>
      </c>
      <c r="I127" s="75"/>
      <c r="J127" s="76">
        <f>SUM(F108:H125)</f>
        <v>171000</v>
      </c>
      <c r="K127" s="75"/>
      <c r="L127" s="50" t="s">
        <v>136</v>
      </c>
      <c r="M127" s="50"/>
      <c r="N127" s="49">
        <f>SUM(M108:P125)</f>
        <v>21600</v>
      </c>
      <c r="O127" s="50"/>
      <c r="P127" s="50" t="s">
        <v>104</v>
      </c>
      <c r="Q127" s="50"/>
      <c r="R127" s="49" t="str">
        <f>IF(N127&gt;0,"Profit","Loss")</f>
        <v>Profit</v>
      </c>
      <c r="S127" s="50"/>
    </row>
    <row r="128" spans="1:20" x14ac:dyDescent="0.2">
      <c r="A128" s="72"/>
      <c r="B128" s="72"/>
      <c r="C128" s="72"/>
      <c r="D128" s="72"/>
      <c r="E128" s="73"/>
      <c r="F128" s="74"/>
      <c r="G128" s="74"/>
      <c r="H128" s="75"/>
      <c r="I128" s="75"/>
      <c r="J128" s="75"/>
      <c r="K128" s="75"/>
      <c r="L128" s="50"/>
      <c r="M128" s="50"/>
      <c r="N128" s="50"/>
      <c r="O128" s="50"/>
      <c r="P128" s="50"/>
      <c r="Q128" s="50"/>
      <c r="R128" s="50"/>
      <c r="S128" s="50"/>
    </row>
    <row r="129" spans="1:16" x14ac:dyDescent="0.2">
      <c r="A129" s="10"/>
      <c r="B129" s="10"/>
      <c r="C129" s="60" t="s">
        <v>139</v>
      </c>
      <c r="D129" s="60"/>
      <c r="E129" s="61">
        <f>MAX(M108:P125)</f>
        <v>9000</v>
      </c>
      <c r="F129" s="51" t="s">
        <v>137</v>
      </c>
      <c r="G129" s="51"/>
      <c r="H129" s="51"/>
      <c r="I129" s="52">
        <f>_xlfn.PERCENTOF(N127,J127)</f>
        <v>0.12631578947368421</v>
      </c>
      <c r="J129" s="52"/>
      <c r="K129" s="53" t="s">
        <v>138</v>
      </c>
      <c r="L129" s="53"/>
      <c r="M129" s="53"/>
      <c r="N129" s="54" t="s">
        <v>128</v>
      </c>
      <c r="O129" s="54"/>
      <c r="P129" s="48"/>
    </row>
    <row r="130" spans="1:16" x14ac:dyDescent="0.2">
      <c r="C130" s="60"/>
      <c r="D130" s="60"/>
      <c r="E130" s="60"/>
      <c r="F130" s="51"/>
      <c r="G130" s="51"/>
      <c r="H130" s="51"/>
      <c r="I130" s="52"/>
      <c r="J130" s="52"/>
      <c r="K130" s="53"/>
      <c r="L130" s="53"/>
      <c r="M130" s="53"/>
      <c r="N130" s="54"/>
      <c r="O130" s="54"/>
    </row>
  </sheetData>
  <autoFilter ref="A52:AN72" xr:uid="{56183EF1-A135-7140-898B-D14C00F9AA39}">
    <filterColumn colId="0" showButton="0"/>
    <filterColumn colId="1" showButton="0"/>
    <filterColumn colId="2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20" showButton="0"/>
    <filterColumn colId="21" showButton="0"/>
    <filterColumn colId="22" showButton="0"/>
    <filterColumn colId="25" showButton="0"/>
    <filterColumn colId="26" showButton="0"/>
    <filterColumn colId="28" showButton="0"/>
    <filterColumn colId="29" showButton="0"/>
    <filterColumn colId="30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</autoFilter>
  <sortState xmlns:xlrd2="http://schemas.microsoft.com/office/spreadsheetml/2017/richdata2" ref="A4:K15">
    <sortCondition ref="A4:A15"/>
    <sortCondition ref="B4:B15"/>
    <sortCondition ref="C4:C15"/>
    <sortCondition ref="I4:I15"/>
  </sortState>
  <mergeCells count="354">
    <mergeCell ref="F123:H123"/>
    <mergeCell ref="I123:L123"/>
    <mergeCell ref="A124:D124"/>
    <mergeCell ref="F124:H124"/>
    <mergeCell ref="I124:L124"/>
    <mergeCell ref="A125:D125"/>
    <mergeCell ref="F125:H125"/>
    <mergeCell ref="I125:L125"/>
    <mergeCell ref="A126:D126"/>
    <mergeCell ref="F126:H126"/>
    <mergeCell ref="I126:L126"/>
    <mergeCell ref="F117:H117"/>
    <mergeCell ref="I117:L117"/>
    <mergeCell ref="A118:D118"/>
    <mergeCell ref="F118:H118"/>
    <mergeCell ref="I118:L118"/>
    <mergeCell ref="A119:D119"/>
    <mergeCell ref="F119:H119"/>
    <mergeCell ref="I119:L119"/>
    <mergeCell ref="A120:D120"/>
    <mergeCell ref="F120:H120"/>
    <mergeCell ref="I120:L120"/>
    <mergeCell ref="A111:D111"/>
    <mergeCell ref="F111:H111"/>
    <mergeCell ref="I111:L111"/>
    <mergeCell ref="M111:P111"/>
    <mergeCell ref="Q111:T111"/>
    <mergeCell ref="A112:D112"/>
    <mergeCell ref="F112:H112"/>
    <mergeCell ref="I112:L112"/>
    <mergeCell ref="M112:P112"/>
    <mergeCell ref="Q112:T112"/>
    <mergeCell ref="A109:D109"/>
    <mergeCell ref="F109:H109"/>
    <mergeCell ref="I109:L109"/>
    <mergeCell ref="M109:P109"/>
    <mergeCell ref="Q109:T109"/>
    <mergeCell ref="A110:D110"/>
    <mergeCell ref="F110:H110"/>
    <mergeCell ref="I110:L110"/>
    <mergeCell ref="M110:P110"/>
    <mergeCell ref="Q110:T110"/>
    <mergeCell ref="A101:T103"/>
    <mergeCell ref="A106:D107"/>
    <mergeCell ref="E106:E107"/>
    <mergeCell ref="F106:H107"/>
    <mergeCell ref="I106:L107"/>
    <mergeCell ref="M106:P107"/>
    <mergeCell ref="Q106:T107"/>
    <mergeCell ref="A108:D108"/>
    <mergeCell ref="F108:H108"/>
    <mergeCell ref="I108:L108"/>
    <mergeCell ref="M108:P108"/>
    <mergeCell ref="Q108:T108"/>
    <mergeCell ref="A113:D113"/>
    <mergeCell ref="F113:H113"/>
    <mergeCell ref="I113:L113"/>
    <mergeCell ref="A114:D114"/>
    <mergeCell ref="F114:H114"/>
    <mergeCell ref="I114:L114"/>
    <mergeCell ref="C129:D130"/>
    <mergeCell ref="E129:E130"/>
    <mergeCell ref="F129:H130"/>
    <mergeCell ref="I129:J130"/>
    <mergeCell ref="K129:M130"/>
    <mergeCell ref="N129:O130"/>
    <mergeCell ref="C127:D128"/>
    <mergeCell ref="E127:E128"/>
    <mergeCell ref="F127:G128"/>
    <mergeCell ref="H127:I128"/>
    <mergeCell ref="J127:K128"/>
    <mergeCell ref="M126:P126"/>
    <mergeCell ref="A127:B128"/>
    <mergeCell ref="L127:M128"/>
    <mergeCell ref="N127:O128"/>
    <mergeCell ref="P127:Q128"/>
    <mergeCell ref="R127:S128"/>
    <mergeCell ref="M124:P124"/>
    <mergeCell ref="Q124:T124"/>
    <mergeCell ref="M125:P125"/>
    <mergeCell ref="Q125:T125"/>
    <mergeCell ref="M122:P122"/>
    <mergeCell ref="Q122:T122"/>
    <mergeCell ref="M123:P123"/>
    <mergeCell ref="Q123:T123"/>
    <mergeCell ref="A122:D122"/>
    <mergeCell ref="F122:H122"/>
    <mergeCell ref="I122:L122"/>
    <mergeCell ref="A123:D123"/>
    <mergeCell ref="M120:P120"/>
    <mergeCell ref="Q120:T120"/>
    <mergeCell ref="M121:P121"/>
    <mergeCell ref="Q121:T121"/>
    <mergeCell ref="A121:D121"/>
    <mergeCell ref="F121:H121"/>
    <mergeCell ref="I121:L121"/>
    <mergeCell ref="M118:P118"/>
    <mergeCell ref="Q118:T118"/>
    <mergeCell ref="M119:P119"/>
    <mergeCell ref="Q119:T119"/>
    <mergeCell ref="M116:P116"/>
    <mergeCell ref="Q116:T116"/>
    <mergeCell ref="M117:P117"/>
    <mergeCell ref="Q117:T117"/>
    <mergeCell ref="A116:D116"/>
    <mergeCell ref="F116:H116"/>
    <mergeCell ref="I116:L116"/>
    <mergeCell ref="A117:D117"/>
    <mergeCell ref="M114:P114"/>
    <mergeCell ref="Q114:T114"/>
    <mergeCell ref="M115:P115"/>
    <mergeCell ref="Q115:T115"/>
    <mergeCell ref="A115:D115"/>
    <mergeCell ref="F115:H115"/>
    <mergeCell ref="I115:L115"/>
    <mergeCell ref="M113:P113"/>
    <mergeCell ref="Q113:T113"/>
    <mergeCell ref="A47:S49"/>
    <mergeCell ref="R73:S74"/>
    <mergeCell ref="L66:O66"/>
    <mergeCell ref="L67:O67"/>
    <mergeCell ref="L68:O68"/>
    <mergeCell ref="L69:O69"/>
    <mergeCell ref="L70:O70"/>
    <mergeCell ref="L52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N73:O74"/>
    <mergeCell ref="E73:E74"/>
    <mergeCell ref="F73:G74"/>
    <mergeCell ref="P65:S65"/>
    <mergeCell ref="P66:S66"/>
    <mergeCell ref="P67:S67"/>
    <mergeCell ref="P58:S58"/>
    <mergeCell ref="P59:S59"/>
    <mergeCell ref="P60:S60"/>
    <mergeCell ref="P61:S61"/>
    <mergeCell ref="P62:S62"/>
    <mergeCell ref="H73:I74"/>
    <mergeCell ref="J73:K74"/>
    <mergeCell ref="L73:M74"/>
    <mergeCell ref="P68:S68"/>
    <mergeCell ref="P69:S69"/>
    <mergeCell ref="P70:S70"/>
    <mergeCell ref="P71:S71"/>
    <mergeCell ref="L72:O72"/>
    <mergeCell ref="L71:O71"/>
    <mergeCell ref="P73:Q74"/>
    <mergeCell ref="H67:K67"/>
    <mergeCell ref="H68:K68"/>
    <mergeCell ref="H69:K69"/>
    <mergeCell ref="H70:K70"/>
    <mergeCell ref="H71:K71"/>
    <mergeCell ref="P63:S63"/>
    <mergeCell ref="P64:S64"/>
    <mergeCell ref="E70:G70"/>
    <mergeCell ref="E71:G71"/>
    <mergeCell ref="E72:G72"/>
    <mergeCell ref="H54:K54"/>
    <mergeCell ref="H55:K55"/>
    <mergeCell ref="H56:K56"/>
    <mergeCell ref="H57:K57"/>
    <mergeCell ref="H58:K58"/>
    <mergeCell ref="H59:K59"/>
    <mergeCell ref="H60:K60"/>
    <mergeCell ref="H61:K61"/>
    <mergeCell ref="H62:K62"/>
    <mergeCell ref="H63:K63"/>
    <mergeCell ref="H64:K64"/>
    <mergeCell ref="H65:K65"/>
    <mergeCell ref="H66:K66"/>
    <mergeCell ref="E65:G65"/>
    <mergeCell ref="E66:G66"/>
    <mergeCell ref="E67:G67"/>
    <mergeCell ref="E68:G68"/>
    <mergeCell ref="E69:G69"/>
    <mergeCell ref="E63:G63"/>
    <mergeCell ref="E64:G64"/>
    <mergeCell ref="E57:G57"/>
    <mergeCell ref="A21:I21"/>
    <mergeCell ref="A23:I23"/>
    <mergeCell ref="A1:K1"/>
    <mergeCell ref="E16:F16"/>
    <mergeCell ref="E17:F17"/>
    <mergeCell ref="E20:F20"/>
    <mergeCell ref="H75:I76"/>
    <mergeCell ref="E75:G76"/>
    <mergeCell ref="J75:L76"/>
    <mergeCell ref="E58:G58"/>
    <mergeCell ref="E59:G59"/>
    <mergeCell ref="E60:G60"/>
    <mergeCell ref="E61:G61"/>
    <mergeCell ref="E54:G54"/>
    <mergeCell ref="E55:G55"/>
    <mergeCell ref="E56:G56"/>
    <mergeCell ref="A67:D67"/>
    <mergeCell ref="A68:D68"/>
    <mergeCell ref="A69:D69"/>
    <mergeCell ref="A70:D70"/>
    <mergeCell ref="A71:D71"/>
    <mergeCell ref="A54:D54"/>
    <mergeCell ref="A55:D55"/>
    <mergeCell ref="A56:D56"/>
    <mergeCell ref="M75:N76"/>
    <mergeCell ref="A72:D72"/>
    <mergeCell ref="H72:K72"/>
    <mergeCell ref="A73:B74"/>
    <mergeCell ref="C73:D74"/>
    <mergeCell ref="A52:D53"/>
    <mergeCell ref="E52:G53"/>
    <mergeCell ref="H52:K53"/>
    <mergeCell ref="P52:S53"/>
    <mergeCell ref="A64:D64"/>
    <mergeCell ref="A65:D65"/>
    <mergeCell ref="A66:D66"/>
    <mergeCell ref="E62:G62"/>
    <mergeCell ref="P57:S57"/>
    <mergeCell ref="P54:S54"/>
    <mergeCell ref="P55:S55"/>
    <mergeCell ref="P56:S56"/>
    <mergeCell ref="A57:D57"/>
    <mergeCell ref="A58:D58"/>
    <mergeCell ref="A59:D59"/>
    <mergeCell ref="A60:D60"/>
    <mergeCell ref="A61:D61"/>
    <mergeCell ref="A62:D62"/>
    <mergeCell ref="A63:D63"/>
    <mergeCell ref="U47:AN49"/>
    <mergeCell ref="U52:X53"/>
    <mergeCell ref="Z52:AB53"/>
    <mergeCell ref="AC52:AF53"/>
    <mergeCell ref="AG52:AJ53"/>
    <mergeCell ref="AK52:AN53"/>
    <mergeCell ref="U54:X54"/>
    <mergeCell ref="Z54:AB54"/>
    <mergeCell ref="AG54:AJ54"/>
    <mergeCell ref="AK54:AN54"/>
    <mergeCell ref="U55:X55"/>
    <mergeCell ref="Z55:AB55"/>
    <mergeCell ref="AC54:AF54"/>
    <mergeCell ref="AG55:AJ55"/>
    <mergeCell ref="AK55:AN55"/>
    <mergeCell ref="U56:X56"/>
    <mergeCell ref="Z56:AB56"/>
    <mergeCell ref="AC56:AF56"/>
    <mergeCell ref="AG56:AJ56"/>
    <mergeCell ref="AK56:AN56"/>
    <mergeCell ref="U57:X57"/>
    <mergeCell ref="Z57:AB57"/>
    <mergeCell ref="AC57:AF57"/>
    <mergeCell ref="AG57:AJ57"/>
    <mergeCell ref="AK57:AN57"/>
    <mergeCell ref="U58:X58"/>
    <mergeCell ref="Z58:AB58"/>
    <mergeCell ref="AC58:AF58"/>
    <mergeCell ref="AG58:AJ58"/>
    <mergeCell ref="AK58:AN58"/>
    <mergeCell ref="U59:X59"/>
    <mergeCell ref="Z59:AB59"/>
    <mergeCell ref="AC59:AF59"/>
    <mergeCell ref="AG59:AJ59"/>
    <mergeCell ref="AK59:AN59"/>
    <mergeCell ref="U60:X60"/>
    <mergeCell ref="Z60:AB60"/>
    <mergeCell ref="AC60:AF60"/>
    <mergeCell ref="AG60:AJ60"/>
    <mergeCell ref="AK60:AN60"/>
    <mergeCell ref="U61:X61"/>
    <mergeCell ref="Z61:AB61"/>
    <mergeCell ref="AC61:AF61"/>
    <mergeCell ref="AG61:AJ61"/>
    <mergeCell ref="AK61:AN61"/>
    <mergeCell ref="U62:X62"/>
    <mergeCell ref="Z62:AB62"/>
    <mergeCell ref="AC62:AF62"/>
    <mergeCell ref="AG62:AJ62"/>
    <mergeCell ref="AK62:AN62"/>
    <mergeCell ref="U63:X63"/>
    <mergeCell ref="Z63:AB63"/>
    <mergeCell ref="AC63:AF63"/>
    <mergeCell ref="AG63:AJ63"/>
    <mergeCell ref="AK63:AN63"/>
    <mergeCell ref="U64:X64"/>
    <mergeCell ref="Z64:AB64"/>
    <mergeCell ref="AC64:AF64"/>
    <mergeCell ref="AG64:AJ64"/>
    <mergeCell ref="AK64:AN64"/>
    <mergeCell ref="U65:X65"/>
    <mergeCell ref="Z65:AB65"/>
    <mergeCell ref="AC65:AF65"/>
    <mergeCell ref="AG65:AJ65"/>
    <mergeCell ref="AK65:AN65"/>
    <mergeCell ref="U66:X66"/>
    <mergeCell ref="Z66:AB66"/>
    <mergeCell ref="AC66:AF66"/>
    <mergeCell ref="AG66:AJ66"/>
    <mergeCell ref="AK66:AN66"/>
    <mergeCell ref="Z70:AB70"/>
    <mergeCell ref="AC70:AF70"/>
    <mergeCell ref="AG70:AJ70"/>
    <mergeCell ref="AK70:AN70"/>
    <mergeCell ref="U67:X67"/>
    <mergeCell ref="Z67:AB67"/>
    <mergeCell ref="AC67:AF67"/>
    <mergeCell ref="AG67:AJ67"/>
    <mergeCell ref="AK67:AN67"/>
    <mergeCell ref="U68:X68"/>
    <mergeCell ref="Z68:AB68"/>
    <mergeCell ref="AC68:AF68"/>
    <mergeCell ref="AG68:AJ68"/>
    <mergeCell ref="AK68:AN68"/>
    <mergeCell ref="U73:V74"/>
    <mergeCell ref="W73:X74"/>
    <mergeCell ref="Y73:Y74"/>
    <mergeCell ref="Z73:AA74"/>
    <mergeCell ref="AB73:AC74"/>
    <mergeCell ref="AD73:AE74"/>
    <mergeCell ref="AF73:AG74"/>
    <mergeCell ref="AH73:AI74"/>
    <mergeCell ref="AJ73:AK74"/>
    <mergeCell ref="AL73:AM74"/>
    <mergeCell ref="Z75:AB76"/>
    <mergeCell ref="AC75:AD76"/>
    <mergeCell ref="AE75:AG76"/>
    <mergeCell ref="AH75:AI76"/>
    <mergeCell ref="Y52:Y53"/>
    <mergeCell ref="AC55:AF55"/>
    <mergeCell ref="W75:X76"/>
    <mergeCell ref="Y75:Y76"/>
    <mergeCell ref="U71:X71"/>
    <mergeCell ref="Z71:AB71"/>
    <mergeCell ref="AC71:AF71"/>
    <mergeCell ref="AG71:AJ71"/>
    <mergeCell ref="AK71:AN71"/>
    <mergeCell ref="U72:X72"/>
    <mergeCell ref="Z72:AB72"/>
    <mergeCell ref="AC72:AF72"/>
    <mergeCell ref="AG72:AJ72"/>
    <mergeCell ref="U69:X69"/>
    <mergeCell ref="Z69:AB69"/>
    <mergeCell ref="AC69:AF69"/>
    <mergeCell ref="AG69:AJ69"/>
    <mergeCell ref="AK69:AN69"/>
    <mergeCell ref="U70:X70"/>
  </mergeCells>
  <phoneticPr fontId="4" type="noConversion"/>
  <conditionalFormatting sqref="D3:D1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1">
      <iconSet>
        <cfvo type="percent" val="0"/>
        <cfvo type="percent" val="33"/>
        <cfvo type="percent" val="67"/>
      </iconSet>
    </cfRule>
  </conditionalFormatting>
  <conditionalFormatting sqref="E54:G7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:K7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4:K7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max"/>
        <color rgb="FFFCFCFF"/>
        <color rgb="FFF8696B"/>
      </colorScale>
    </cfRule>
    <cfRule type="colorScale" priority="44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I3:I1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5">
    <cfRule type="duplicateValues" dxfId="36" priority="59"/>
  </conditionalFormatting>
  <conditionalFormatting sqref="K9">
    <cfRule type="uniqueValues" dxfId="35" priority="58"/>
  </conditionalFormatting>
  <conditionalFormatting sqref="L54:O71">
    <cfRule type="cellIs" dxfId="34" priority="43" operator="greaterThan">
      <formula>0</formula>
    </cfRule>
    <cfRule type="cellIs" dxfId="33" priority="42" operator="lessThan">
      <formula>0</formula>
    </cfRule>
  </conditionalFormatting>
  <conditionalFormatting sqref="P54:S71">
    <cfRule type="containsText" dxfId="32" priority="40" operator="containsText" text="Good">
      <formula>NOT(ISERROR(SEARCH("Good",P54)))</formula>
    </cfRule>
    <cfRule type="containsText" dxfId="31" priority="39" operator="containsText" text="Good">
      <formula>NOT(ISERROR(SEARCH("Good",P54)))</formula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" priority="41" operator="containsText" text="Bad">
      <formula>NOT(ISERROR(SEARCH("Bad",P54)))</formula>
    </cfRule>
    <cfRule type="iconSet" priority="49">
      <iconSet>
        <cfvo type="percent" val="0"/>
        <cfvo type="percent" val="33"/>
        <cfvo type="percent" val="67"/>
      </iconSet>
    </cfRule>
    <cfRule type="colorScale" priority="48">
      <colorScale>
        <cfvo type="min"/>
        <cfvo type="max"/>
        <color rgb="FFFF7128"/>
        <color rgb="FFFFEF9C"/>
      </colorScale>
    </cfRule>
  </conditionalFormatting>
  <conditionalFormatting sqref="U52:X72">
    <cfRule type="iconSet" priority="18">
      <iconSet>
        <cfvo type="percent" val="0"/>
        <cfvo type="percent" val="33"/>
        <cfvo type="percent" val="67"/>
      </iconSet>
    </cfRule>
  </conditionalFormatting>
  <conditionalFormatting sqref="Y52:Y7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4:AB7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14">
    <cfRule type="duplicateValues" dxfId="29" priority="55"/>
  </conditionalFormatting>
  <conditionalFormatting sqref="AC8">
    <cfRule type="uniqueValues" dxfId="28" priority="54"/>
  </conditionalFormatting>
  <conditionalFormatting sqref="AC54:AF54 AC71:AF71 AC56:AF57 AC59:AF60 AC62:AF63 AC65:AF66 AC68:AF6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max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4:AF7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4:AJ71">
    <cfRule type="cellIs" dxfId="27" priority="30" operator="lessThan">
      <formula>0</formula>
    </cfRule>
    <cfRule type="cellIs" dxfId="26" priority="31" operator="greaterThan">
      <formula>0</formula>
    </cfRule>
  </conditionalFormatting>
  <conditionalFormatting sqref="AG54:AN54">
    <cfRule type="cellIs" dxfId="25" priority="23" operator="equal">
      <formula>0</formula>
    </cfRule>
  </conditionalFormatting>
  <conditionalFormatting sqref="AK54:AN71">
    <cfRule type="containsText" dxfId="24" priority="28" operator="containsText" text="Good">
      <formula>NOT(ISERROR(SEARCH("Good",AK54)))</formula>
    </cfRule>
    <cfRule type="containsText" dxfId="23" priority="29" operator="containsText" text="Bad">
      <formula>NOT(ISERROR(SEARCH("Bad",AK54)))</formula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7">
      <iconSet>
        <cfvo type="percent" val="0"/>
        <cfvo type="percent" val="33"/>
        <cfvo type="percent" val="67"/>
      </iconSet>
    </cfRule>
    <cfRule type="containsText" dxfId="22" priority="22" operator="containsText" text="OK">
      <formula>NOT(ISERROR(SEARCH("OK",AK54)))</formula>
    </cfRule>
    <cfRule type="colorScale" priority="36">
      <colorScale>
        <cfvo type="min"/>
        <cfvo type="max"/>
        <color rgb="FFFF7128"/>
        <color rgb="FFFFEF9C"/>
      </colorScale>
    </cfRule>
    <cfRule type="containsText" dxfId="21" priority="27" operator="containsText" text="Good">
      <formula>NOT(ISERROR(SEARCH("Good",AK54)))</formula>
    </cfRule>
  </conditionalFormatting>
  <conditionalFormatting sqref="A106:D126">
    <cfRule type="iconSet" priority="1">
      <iconSet>
        <cfvo type="percent" val="0"/>
        <cfvo type="percent" val="33"/>
        <cfvo type="percent" val="67"/>
      </iconSet>
    </cfRule>
  </conditionalFormatting>
  <conditionalFormatting sqref="E106:E1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8:H1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8:L108 I125:L125 I110:L111 I113:L114 I116:L117 I119:L120 I122:L1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8:L1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P125">
    <cfRule type="cellIs" dxfId="6" priority="10" operator="lessThan">
      <formula>0</formula>
    </cfRule>
    <cfRule type="cellIs" dxfId="5" priority="11" operator="greaterThan">
      <formula>0</formula>
    </cfRule>
  </conditionalFormatting>
  <conditionalFormatting sqref="M108:T108">
    <cfRule type="cellIs" dxfId="4" priority="4" operator="equal">
      <formula>0</formula>
    </cfRule>
  </conditionalFormatting>
  <conditionalFormatting sqref="Q108:T125">
    <cfRule type="containsText" dxfId="1" priority="3" operator="containsText" text="OK">
      <formula>NOT(ISERROR(SEARCH("OK",Q108)))</formula>
    </cfRule>
    <cfRule type="containsText" dxfId="0" priority="7" operator="containsText" text="Good">
      <formula>NOT(ISERROR(SEARCH("Good",Q108)))</formula>
    </cfRule>
    <cfRule type="containsText" dxfId="3" priority="8" operator="containsText" text="Good">
      <formula>NOT(ISERROR(SEARCH("Good",Q108)))</formula>
    </cfRule>
    <cfRule type="containsText" dxfId="2" priority="9" operator="containsText" text="Bad">
      <formula>NOT(ISERROR(SEARCH("Bad",Q108)))</formula>
    </cfRule>
    <cfRule type="colorScale" priority="15">
      <colorScale>
        <cfvo type="min"/>
        <cfvo type="max"/>
        <color rgb="FFFF7128"/>
        <color rgb="FFFFEF9C"/>
      </colorScale>
    </cfRule>
    <cfRule type="iconSet" priority="16">
      <iconSet>
        <cfvo type="percent" val="0"/>
        <cfvo type="percent" val="33"/>
        <cfvo type="percent" val="67"/>
      </iconSet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C16-0211-DB4D-A1BB-8E30E01C39E4}">
  <dimension ref="A1:B1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7" t="s">
        <v>40</v>
      </c>
      <c r="B1" s="7" t="s">
        <v>41</v>
      </c>
    </row>
  </sheetData>
  <hyperlinks>
    <hyperlink ref="A1" location="Sheet1!A1" display="Sheet1!A1" xr:uid="{BFE0AEB2-6CA4-744D-8789-0748B34555EF}"/>
    <hyperlink ref="B1" location="Sheet1!B5" display="Sheet1!B5" xr:uid="{3812F398-A00E-BC4B-93B5-DF0E2A9862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Sheet8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[BTECH-036-2023-24] DUDHAT AYUSH HITESHKUMAR</dc:creator>
  <cp:lastModifiedBy>[BTECH-036-2023-24] DUDHAT AYUSH HITESHKUMAR</cp:lastModifiedBy>
  <dcterms:created xsi:type="dcterms:W3CDTF">2026-07-25T13:47:54Z</dcterms:created>
  <dcterms:modified xsi:type="dcterms:W3CDTF">2026-08-03T09:45:55Z</dcterms:modified>
</cp:coreProperties>
</file>