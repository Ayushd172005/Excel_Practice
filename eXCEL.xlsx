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pple/Documents/"/>
    </mc:Choice>
  </mc:AlternateContent>
  <xr:revisionPtr revIDLastSave="0" documentId="13_ncr:1_{0E168AD3-23C1-CC49-9F00-86B9822D7091}" xr6:coauthVersionLast="47" xr6:coauthVersionMax="47" xr10:uidLastSave="{00000000-0000-0000-0000-000000000000}"/>
  <bookViews>
    <workbookView xWindow="5220" yWindow="500" windowWidth="15420" windowHeight="14020" activeTab="2" xr2:uid="{BFF67E27-97A4-2742-884B-996DB741DDCA}"/>
  </bookViews>
  <sheets>
    <sheet name="Sheet3" sheetId="3" r:id="rId1"/>
    <sheet name="Sheet8" sheetId="8" r:id="rId2"/>
    <sheet name="Sheet1" sheetId="1" r:id="rId3"/>
    <sheet name="Sheet2" sheetId="2" r:id="rId4"/>
  </sheets>
  <definedNames>
    <definedName name="_xlnm._FilterDatabase" localSheetId="2" hidden="1">Sheet1!$A$3:$K$15</definedName>
    <definedName name="_xlchart.v1.0" hidden="1">Sheet1!$J$3</definedName>
    <definedName name="_xlchart.v1.1" hidden="1">Sheet1!$J$4:$J$15</definedName>
    <definedName name="_xlchart.v1.2" hidden="1">Sheet1!$K$3</definedName>
    <definedName name="_xlchart.v1.3" hidden="1">Sheet1!$K$4:$K$15</definedName>
  </definedNames>
  <calcPr calcId="191029"/>
  <pivotCaches>
    <pivotCache cacheId="9" r:id="rId5"/>
    <pivotCache cacheId="28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G17" i="1"/>
  <c r="G16" i="1"/>
  <c r="H16" i="1"/>
  <c r="J4" i="1"/>
  <c r="L4" i="1" s="1"/>
  <c r="I4" i="1"/>
  <c r="K4" i="1"/>
  <c r="I5" i="1"/>
  <c r="J5" i="1"/>
  <c r="L5" i="1" s="1"/>
  <c r="K5" i="1"/>
  <c r="I6" i="1"/>
  <c r="J6" i="1"/>
  <c r="L6" i="1" s="1"/>
  <c r="K6" i="1"/>
  <c r="I7" i="1"/>
  <c r="J7" i="1"/>
  <c r="L7" i="1" s="1"/>
  <c r="K7" i="1"/>
  <c r="I8" i="1"/>
  <c r="J8" i="1"/>
  <c r="L8" i="1" s="1"/>
  <c r="K8" i="1"/>
  <c r="I9" i="1"/>
  <c r="J9" i="1"/>
  <c r="L9" i="1" s="1"/>
  <c r="K9" i="1"/>
  <c r="I10" i="1"/>
  <c r="J10" i="1"/>
  <c r="L10" i="1" s="1"/>
  <c r="K10" i="1"/>
  <c r="I11" i="1"/>
  <c r="J11" i="1"/>
  <c r="L11" i="1" s="1"/>
  <c r="K11" i="1"/>
  <c r="I12" i="1"/>
  <c r="J12" i="1"/>
  <c r="L12" i="1" s="1"/>
  <c r="K12" i="1"/>
  <c r="I13" i="1"/>
  <c r="J13" i="1"/>
  <c r="L13" i="1" s="1"/>
  <c r="K13" i="1"/>
  <c r="I14" i="1"/>
  <c r="J14" i="1"/>
  <c r="L14" i="1" s="1"/>
  <c r="K14" i="1"/>
  <c r="I15" i="1"/>
  <c r="J15" i="1"/>
  <c r="L15" i="1" s="1"/>
  <c r="K15" i="1"/>
  <c r="AB4" i="1"/>
  <c r="AB5" i="1"/>
  <c r="AB6" i="1"/>
  <c r="AB7" i="1"/>
  <c r="AB8" i="1"/>
  <c r="AB9" i="1"/>
  <c r="AB10" i="1"/>
  <c r="AB11" i="1"/>
  <c r="AB12" i="1"/>
  <c r="AB13" i="1"/>
  <c r="AB14" i="1"/>
  <c r="AB3" i="1"/>
  <c r="AA4" i="1"/>
  <c r="AA5" i="1"/>
  <c r="AA6" i="1"/>
  <c r="AA7" i="1"/>
  <c r="AA8" i="1"/>
  <c r="AA9" i="1"/>
  <c r="AA10" i="1"/>
  <c r="AA11" i="1"/>
  <c r="AA12" i="1"/>
  <c r="AA13" i="1"/>
  <c r="AA14" i="1"/>
  <c r="AA3" i="1"/>
  <c r="P6" i="1"/>
  <c r="P7" i="1"/>
  <c r="P8" i="1"/>
  <c r="P9" i="1"/>
  <c r="P5" i="1"/>
  <c r="O6" i="1"/>
  <c r="O7" i="1"/>
  <c r="O8" i="1"/>
  <c r="O9" i="1"/>
  <c r="O5" i="1"/>
  <c r="N5" i="1"/>
  <c r="N7" i="1"/>
  <c r="N8" i="1"/>
  <c r="N9" i="1"/>
  <c r="N6" i="1"/>
  <c r="G18" i="1" l="1"/>
  <c r="I18" i="1"/>
  <c r="I17" i="1"/>
  <c r="K17" i="1"/>
  <c r="I16" i="1"/>
  <c r="J16" i="1"/>
  <c r="L17" i="1" s="1"/>
  <c r="M1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tc={E95F26E8-B827-0B46-A832-A8E74495CF10}</author>
  </authors>
  <commentList>
    <comment ref="F12" authorId="0" shapeId="0" xr:uid="{E95F26E8-B827-0B46-A832-A8E74495CF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true
</t>
      </text>
    </comment>
  </commentList>
</comments>
</file>

<file path=xl/sharedStrings.xml><?xml version="1.0" encoding="utf-8"?>
<sst xmlns="http://schemas.openxmlformats.org/spreadsheetml/2006/main" count="128" uniqueCount="74">
  <si>
    <t>Sno</t>
  </si>
  <si>
    <t>First Nmae</t>
  </si>
  <si>
    <t>Last Name</t>
  </si>
  <si>
    <t>DOJ</t>
  </si>
  <si>
    <t>Sal-Jan</t>
  </si>
  <si>
    <t>Sal-Feb</t>
  </si>
  <si>
    <t>Sal-Mar</t>
  </si>
  <si>
    <t>Sal Total</t>
  </si>
  <si>
    <t>Avg Sal</t>
  </si>
  <si>
    <t>A</t>
  </si>
  <si>
    <t>B</t>
  </si>
  <si>
    <t>X</t>
  </si>
  <si>
    <t>Y</t>
  </si>
  <si>
    <t>Full Name</t>
  </si>
  <si>
    <t>c</t>
  </si>
  <si>
    <t>v</t>
  </si>
  <si>
    <t>k</t>
  </si>
  <si>
    <t>EMPLOYEE SALARY DESCRIPTION</t>
  </si>
  <si>
    <t xml:space="preserve">Ram has the highest salaery among all of them </t>
  </si>
  <si>
    <t xml:space="preserve">Rounding up of numbers 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</si>
  <si>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</si>
  <si>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</si>
  <si>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</si>
  <si>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</si>
  <si>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</si>
  <si>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</si>
  <si>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</si>
  <si>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</si>
  <si>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</si>
  <si>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Monday</t>
  </si>
  <si>
    <t>Tuesday</t>
  </si>
  <si>
    <t>Wednesday</t>
  </si>
  <si>
    <t>Thursday</t>
  </si>
  <si>
    <t>Friday</t>
  </si>
  <si>
    <t>Saturday</t>
  </si>
  <si>
    <t>Sunday</t>
  </si>
  <si>
    <t>ghg</t>
  </si>
  <si>
    <t>hg</t>
  </si>
  <si>
    <t>hggh</t>
  </si>
  <si>
    <t xml:space="preserve"> </t>
  </si>
  <si>
    <t>Sheet1!A1</t>
  </si>
  <si>
    <t>Sheet1!B5</t>
  </si>
  <si>
    <t>Seperating huge words</t>
  </si>
  <si>
    <t>ram</t>
  </si>
  <si>
    <t>gmail.com</t>
  </si>
  <si>
    <t>sham</t>
  </si>
  <si>
    <t>Formulas learned== 1-Sum 2- Average 3- Concatenate. Then learned to change the font,colour,filter,sort,colouring scheme,Higlighting different values like duplicates and uniques,formating of the entire row/column,Rounding of digits(Round,RoundUp,RoundDown),Autofill Concept,Add or edit comment(Blue Mark),linkage,Seperating name from gmail,Charts from given data,VLOOKUP</t>
  </si>
  <si>
    <t>AVG salary</t>
  </si>
  <si>
    <t>A  X</t>
  </si>
  <si>
    <t>ghg  hg</t>
  </si>
  <si>
    <t>B  Y</t>
  </si>
  <si>
    <t>ghg  hggh</t>
  </si>
  <si>
    <t>c  v</t>
  </si>
  <si>
    <t>k  Y</t>
  </si>
  <si>
    <t>Column Labels</t>
  </si>
  <si>
    <t>Row Labels</t>
  </si>
  <si>
    <t>Grand Total</t>
  </si>
  <si>
    <t>(All)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</si>
  <si>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</si>
  <si>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</si>
  <si>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</si>
  <si>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</si>
  <si>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</si>
  <si>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</si>
  <si>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</si>
  <si>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</si>
  <si>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</si>
  <si>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</si>
  <si>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</si>
  <si>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COUNT=</t>
  </si>
  <si>
    <t>COUNTING OF NAMES</t>
  </si>
  <si>
    <t>MIN-</t>
  </si>
  <si>
    <t>Max-</t>
  </si>
  <si>
    <t>Column12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</si>
</sst>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2"/>
      <color theme="1"/>
      <name val="Aptos Narrow"/>
      <family val="2"/>
      <scheme val="minor"/>
    </font>
    <font>
      <b/>
      <u/>
      <sz val="12"/>
      <color theme="1"/>
      <name val="Aptos Narrow"/>
      <scheme val="minor"/>
    </font>
    <font>
      <sz val="18"/>
      <color theme="1"/>
      <name val="Aptos Narrow (Body)"/>
    </font>
    <font>
      <b/>
      <u/>
      <sz val="20"/>
      <color theme="1"/>
      <name val="Aptos Narrow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u/>
      <sz val="18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u/>
      <sz val="12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164" fontId="0" fillId="0" borderId="1" xfId="0" applyNumberFormat="1" applyBorder="1" applyAlignment="1">
      <alignment horizontal="center"/>
    </xf>
    <xf numFmtId="2" fontId="0" fillId="0" borderId="1" xfId="0" applyNumberFormat="1" applyBorder="1"/>
    <xf numFmtId="0" fontId="5" fillId="0" borderId="0" xfId="1"/>
    <xf numFmtId="0" fontId="6" fillId="3" borderId="0" xfId="0" applyFont="1" applyFill="1"/>
    <xf numFmtId="0" fontId="0" fillId="3" borderId="0" xfId="0" applyFill="1"/>
    <xf numFmtId="0" fontId="0" fillId="3" borderId="2" xfId="0" applyFill="1" applyBorder="1" applyAlignment="1">
      <alignment horizontal="center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center" wrapText="1"/>
    </xf>
    <xf numFmtId="0" fontId="0" fillId="3" borderId="0" xfId="0" applyFill="1" applyAlignment="1">
      <alignment horizontal="center" wrapText="1"/>
    </xf>
    <xf numFmtId="0" fontId="0" fillId="0" borderId="0" xfId="0" applyAlignment="1">
      <alignment horizontal="center"/>
    </xf>
    <xf numFmtId="0" fontId="7" fillId="0" borderId="0" xfId="0" applyFont="1"/>
    <xf numFmtId="2" fontId="0" fillId="0" borderId="0" xfId="0" applyNumberFormat="1"/>
    <xf numFmtId="0" fontId="0" fillId="0" borderId="0" xfId="0" pivotButton="1"/>
    <xf numFmtId="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2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4" xfId="0" applyFont="1" applyFill="1" applyBorder="1"/>
    <xf numFmtId="0" fontId="0" fillId="0" borderId="4" xfId="0" applyBorder="1"/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0" fillId="0" borderId="7" xfId="0" applyNumberFormat="1" applyBorder="1"/>
    <xf numFmtId="0" fontId="0" fillId="0" borderId="8" xfId="0" applyBorder="1"/>
    <xf numFmtId="0" fontId="0" fillId="0" borderId="2" xfId="0" applyBorder="1"/>
    <xf numFmtId="0" fontId="0" fillId="0" borderId="0" xfId="0" applyAlignment="1">
      <alignment horizontal="right" wrapText="1"/>
    </xf>
    <xf numFmtId="0" fontId="0" fillId="0" borderId="0" xfId="0" applyAlignment="1">
      <alignment horizontal="right" wrapText="1"/>
    </xf>
    <xf numFmtId="2" fontId="0" fillId="0" borderId="5" xfId="0" applyNumberFormat="1" applyBorder="1"/>
    <xf numFmtId="0" fontId="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8" fillId="7" borderId="1" xfId="0" applyFont="1" applyFill="1" applyBorder="1"/>
    <xf numFmtId="0" fontId="8" fillId="8" borderId="1" xfId="0" applyFont="1" applyFill="1" applyBorder="1"/>
    <xf numFmtId="0" fontId="8" fillId="9" borderId="1" xfId="0" applyFont="1" applyFill="1" applyBorder="1"/>
    <xf numFmtId="0" fontId="8" fillId="10" borderId="1" xfId="0" applyFont="1" applyFill="1" applyBorder="1"/>
    <xf numFmtId="0" fontId="8" fillId="11" borderId="1" xfId="0" applyFont="1" applyFill="1" applyBorder="1"/>
    <xf numFmtId="0" fontId="8" fillId="12" borderId="1" xfId="0" applyFont="1" applyFill="1" applyBorder="1"/>
    <xf numFmtId="0" fontId="8" fillId="13" borderId="1" xfId="0" applyFont="1" applyFill="1" applyBorder="1" applyAlignment="1">
      <alignment horizontal="center"/>
    </xf>
    <xf numFmtId="2" fontId="0" fillId="0" borderId="4" xfId="0" applyNumberFormat="1" applyBorder="1"/>
    <xf numFmtId="0" fontId="3" fillId="3" borderId="9" xfId="0" applyFont="1" applyFill="1" applyBorder="1" applyAlignment="1"/>
    <xf numFmtId="0" fontId="3" fillId="3" borderId="10" xfId="0" applyFont="1" applyFill="1" applyBorder="1" applyAlignment="1"/>
    <xf numFmtId="0" fontId="3" fillId="3" borderId="11" xfId="0" applyFont="1" applyFill="1" applyBorder="1" applyAlignment="1"/>
  </cellXfs>
  <cellStyles count="2">
    <cellStyle name="Hyperlink" xfId="1" builtinId="8"/>
    <cellStyle name="Normal" xfId="0" builtinId="0"/>
  </cellStyles>
  <dxfs count="22">
    <dxf>
      <border outline="0">
        <left style="thin">
          <color indexed="64"/>
        </left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800]dddd\,\ mmmm\ dd\,\ 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22/11/relationships/FeaturePropertyBag" Target="featurePropertyBag/featurePropertyBag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[eXCEL.xlsx]Sheet8!PivotTable6</c:name>
    <c:fmtId val="0"/>
  </c:pivotSource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8625632"/>
        <c:axId val="1928627344"/>
      </c:barChart>
      <c:catAx>
        <c:axId val="1928625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627344"/>
        <c:crosses val="autoZero"/>
        <c:auto val="1"/>
        <c:lblAlgn val="ctr"/>
        <c:lblOffset val="100"/>
        <c:noMultiLvlLbl val="0"/>
      </c:catAx>
      <c:valAx>
        <c:axId val="192862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62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418379813397774"/>
          <c:y val="0.32342341620281662"/>
          <c:w val="0.87764129483814524"/>
          <c:h val="0.61537766112569259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200662349639505E-3"/>
                  <c:y val="-0.1805932455799253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ECD-EB4E-B3FA-410BDAD395AC}"/>
                </c:ext>
              </c:extLst>
            </c:dLbl>
            <c:dLbl>
              <c:idx val="1"/>
              <c:layout>
                <c:manualLayout>
                  <c:x val="-2.2011888793506367E-17"/>
                  <c:y val="-0.1805932455799253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ECD-EB4E-B3FA-410BDAD395AC}"/>
                </c:ext>
              </c:extLst>
            </c:dLbl>
            <c:dLbl>
              <c:idx val="2"/>
              <c:layout>
                <c:manualLayout>
                  <c:x val="0"/>
                  <c:y val="-0.1970108133599186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ECD-EB4E-B3FA-410BDAD395AC}"/>
                </c:ext>
              </c:extLst>
            </c:dLbl>
            <c:dLbl>
              <c:idx val="3"/>
              <c:layout>
                <c:manualLayout>
                  <c:x val="0"/>
                  <c:y val="-0.206861354027914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ECD-EB4E-B3FA-410BDAD395AC}"/>
                </c:ext>
              </c:extLst>
            </c:dLbl>
            <c:dLbl>
              <c:idx val="4"/>
              <c:layout>
                <c:manualLayout>
                  <c:x val="-1.2006623496394941E-3"/>
                  <c:y val="-0.2167118946959104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ECD-EB4E-B3FA-410BDAD395AC}"/>
                </c:ext>
              </c:extLst>
            </c:dLbl>
            <c:dLbl>
              <c:idx val="5"/>
              <c:layout>
                <c:manualLayout>
                  <c:x val="-8.8047555174025469E-17"/>
                  <c:y val="-0.2298459489199049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ECD-EB4E-B3FA-410BDAD395AC}"/>
                </c:ext>
              </c:extLst>
            </c:dLbl>
            <c:dLbl>
              <c:idx val="6"/>
              <c:layout>
                <c:manualLayout>
                  <c:x val="1.2006623496394061E-3"/>
                  <c:y val="-0.2396964895879010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ECD-EB4E-B3FA-410BDAD395AC}"/>
                </c:ext>
              </c:extLst>
            </c:dLbl>
            <c:dLbl>
              <c:idx val="7"/>
              <c:layout>
                <c:manualLayout>
                  <c:x val="-8.8047555174025469E-17"/>
                  <c:y val="-0.2528305438118955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ECD-EB4E-B3FA-410BDAD395AC}"/>
                </c:ext>
              </c:extLst>
            </c:dLbl>
            <c:dLbl>
              <c:idx val="8"/>
              <c:layout>
                <c:manualLayout>
                  <c:x val="-1.2006623496394941E-3"/>
                  <c:y val="-0.2626810844798914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ECD-EB4E-B3FA-410BDAD395AC}"/>
                </c:ext>
              </c:extLst>
            </c:dLbl>
            <c:dLbl>
              <c:idx val="9"/>
              <c:layout>
                <c:manualLayout>
                  <c:x val="-3.6019870489184822E-3"/>
                  <c:y val="-0.2659645980358901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ECD-EB4E-B3FA-410BDAD395AC}"/>
                </c:ext>
              </c:extLst>
            </c:dLbl>
            <c:dLbl>
              <c:idx val="10"/>
              <c:layout>
                <c:manualLayout>
                  <c:x val="0"/>
                  <c:y val="-0.2790986522598846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ECD-EB4E-B3FA-410BDAD395AC}"/>
                </c:ext>
              </c:extLst>
            </c:dLbl>
            <c:dLbl>
              <c:idx val="11"/>
              <c:layout>
                <c:manualLayout>
                  <c:x val="-1.7609511034805094E-16"/>
                  <c:y val="-0.2692481115918887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ECD-EB4E-B3FA-410BDAD395A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Sheet1!$J$4:$J$15</c:f>
              <c:numCache>
                <c:formatCode>0.00</c:formatCode>
                <c:ptCount val="12"/>
                <c:pt idx="0">
                  <c:v>1500</c:v>
                </c:pt>
                <c:pt idx="1">
                  <c:v>1600</c:v>
                </c:pt>
                <c:pt idx="2">
                  <c:v>1700</c:v>
                </c:pt>
                <c:pt idx="3">
                  <c:v>1800</c:v>
                </c:pt>
                <c:pt idx="4">
                  <c:v>1900</c:v>
                </c:pt>
                <c:pt idx="5">
                  <c:v>2000</c:v>
                </c:pt>
                <c:pt idx="6">
                  <c:v>2100</c:v>
                </c:pt>
                <c:pt idx="7">
                  <c:v>2200</c:v>
                </c:pt>
                <c:pt idx="8">
                  <c:v>2300</c:v>
                </c:pt>
                <c:pt idx="9">
                  <c:v>2400</c:v>
                </c:pt>
                <c:pt idx="10">
                  <c:v>2500</c:v>
                </c:pt>
                <c:pt idx="11">
                  <c:v>2600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3B0-1147-8180-F6228590736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Sheet1!$K$4:$K$15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3B0-1147-8180-F62285907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13807"/>
        <c:axId val="59189103"/>
      </c:barChart>
      <c:catAx>
        <c:axId val="5921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189103"/>
        <c:crosses val="autoZero"/>
        <c:auto val="1"/>
        <c:lblAlgn val="ctr"/>
        <c:lblOffset val="100"/>
        <c:noMultiLvlLbl val="0"/>
      </c:catAx>
      <c:valAx>
        <c:axId val="59189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1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Sheet1!$J$3</c:f>
              <c:strCache>
                <c:ptCount val="1"/>
                <c:pt idx="0">
                  <c:v>Avg Sal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Sheet1!$J$4:$J$15</c:f>
              <c:numCache>
                <c:formatCode>0.00</c:formatCode>
                <c:ptCount val="12"/>
                <c:pt idx="0">
                  <c:v>1500</c:v>
                </c:pt>
                <c:pt idx="1">
                  <c:v>1600</c:v>
                </c:pt>
                <c:pt idx="2">
                  <c:v>1700</c:v>
                </c:pt>
                <c:pt idx="3">
                  <c:v>1800</c:v>
                </c:pt>
                <c:pt idx="4">
                  <c:v>1900</c:v>
                </c:pt>
                <c:pt idx="5">
                  <c:v>2000</c:v>
                </c:pt>
                <c:pt idx="6">
                  <c:v>2100</c:v>
                </c:pt>
                <c:pt idx="7">
                  <c:v>2200</c:v>
                </c:pt>
                <c:pt idx="8">
                  <c:v>2300</c:v>
                </c:pt>
                <c:pt idx="9">
                  <c:v>2400</c:v>
                </c:pt>
                <c:pt idx="10">
                  <c:v>2500</c:v>
                </c:pt>
                <c:pt idx="11">
                  <c:v>2600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24-1545-94BB-5EF8A998DF50}"/>
            </c:ext>
          </c:extLst>
        </c:ser>
        <c:ser>
          <c:idx val="1"/>
          <c:order val="1"/>
          <c:tx>
            <c:strRef>
              <c:f>Sheet1!$K$3</c:f>
              <c:strCache>
                <c:ptCount val="1"/>
                <c:pt idx="0">
                  <c:v>Full Name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Sheet1!$K$4:$K$15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24-1545-94BB-5EF8A998D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65193055"/>
        <c:axId val="55638959"/>
      </c:barChart>
      <c:catAx>
        <c:axId val="3651930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38959"/>
        <c:crosses val="autoZero"/>
        <c:auto val="1"/>
        <c:lblAlgn val="ctr"/>
        <c:lblOffset val="100"/>
        <c:noMultiLvlLbl val="0"/>
      </c:catAx>
      <c:valAx>
        <c:axId val="55638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5193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  <c:perspective val="5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Sheet1!$AA$2</c:f>
              <c:strCache>
                <c:ptCount val="1"/>
                <c:pt idx="0">
                  <c:v>Avg Sal</c:v>
                </c:pt>
              </c:strCache>
            </c:strRef>
          </c:tx>
          <c:explosion val="2"/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4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5"/>
            <c:bubble3D val="0"/>
            <c:explosion val="112"/>
            <c:spPr>
              <a:gradFill>
                <a:gsLst>
                  <a:gs pos="100000">
                    <a:schemeClr val="accent6">
                      <a:lumMod val="60000"/>
                      <a:lumOff val="40000"/>
                    </a:schemeClr>
                  </a:gs>
                  <a:gs pos="0">
                    <a:schemeClr val="accent6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A196-4C43-A700-EEEE859EA224}"/>
              </c:ext>
            </c:extLst>
          </c:dPt>
          <c:dPt>
            <c:idx val="6"/>
            <c:bubble3D val="0"/>
            <c:spPr>
              <a:gradFill>
                <a:gsLst>
                  <a:gs pos="100000">
                    <a:schemeClr val="accent1">
                      <a:lumMod val="60000"/>
                      <a:lumMod val="60000"/>
                      <a:lumOff val="40000"/>
                    </a:schemeClr>
                  </a:gs>
                  <a:gs pos="0">
                    <a:schemeClr val="accent1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7"/>
            <c:bubble3D val="0"/>
            <c:spPr>
              <a:gradFill>
                <a:gsLst>
                  <a:gs pos="100000">
                    <a:schemeClr val="accent2">
                      <a:lumMod val="60000"/>
                      <a:lumMod val="60000"/>
                      <a:lumOff val="40000"/>
                    </a:schemeClr>
                  </a:gs>
                  <a:gs pos="0">
                    <a:schemeClr val="accent2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8"/>
            <c:bubble3D val="0"/>
            <c:spPr>
              <a:gradFill>
                <a:gsLst>
                  <a:gs pos="100000">
                    <a:schemeClr val="accent3">
                      <a:lumMod val="60000"/>
                      <a:lumMod val="60000"/>
                      <a:lumOff val="40000"/>
                    </a:schemeClr>
                  </a:gs>
                  <a:gs pos="0">
                    <a:schemeClr val="accent3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9"/>
            <c:bubble3D val="0"/>
            <c:spPr>
              <a:gradFill>
                <a:gsLst>
                  <a:gs pos="100000">
                    <a:schemeClr val="accent4">
                      <a:lumMod val="60000"/>
                      <a:lumMod val="60000"/>
                      <a:lumOff val="40000"/>
                    </a:schemeClr>
                  </a:gs>
                  <a:gs pos="0">
                    <a:schemeClr val="accent4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10"/>
            <c:bubble3D val="0"/>
            <c:spPr>
              <a:gradFill>
                <a:gsLst>
                  <a:gs pos="100000">
                    <a:schemeClr val="accent5">
                      <a:lumMod val="60000"/>
                      <a:lumMod val="60000"/>
                      <a:lumOff val="40000"/>
                    </a:schemeClr>
                  </a:gs>
                  <a:gs pos="0">
                    <a:schemeClr val="accent5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11"/>
            <c:bubble3D val="0"/>
            <c:spPr>
              <a:gradFill>
                <a:gsLst>
                  <a:gs pos="100000">
                    <a:schemeClr val="accent6">
                      <a:lumMod val="60000"/>
                      <a:lumMod val="60000"/>
                      <a:lumOff val="40000"/>
                    </a:schemeClr>
                  </a:gs>
                  <a:gs pos="0">
                    <a:schemeClr val="accent6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val>
            <c:numRef>
              <c:f>Sheet1!$AA$3:$AA$14</c:f>
              <c:numCache>
                <c:formatCode>0.00</c:formatCode>
                <c:ptCount val="12"/>
                <c:pt idx="0">
                  <c:v>1500</c:v>
                </c:pt>
                <c:pt idx="1">
                  <c:v>1600</c:v>
                </c:pt>
                <c:pt idx="2">
                  <c:v>1700</c:v>
                </c:pt>
                <c:pt idx="3">
                  <c:v>1800</c:v>
                </c:pt>
                <c:pt idx="4">
                  <c:v>1900</c:v>
                </c:pt>
                <c:pt idx="5">
                  <c:v>2000</c:v>
                </c:pt>
                <c:pt idx="6">
                  <c:v>2100</c:v>
                </c:pt>
                <c:pt idx="7">
                  <c:v>2200</c:v>
                </c:pt>
                <c:pt idx="8">
                  <c:v>2300</c:v>
                </c:pt>
                <c:pt idx="9">
                  <c:v>2400</c:v>
                </c:pt>
                <c:pt idx="10">
                  <c:v>2500</c:v>
                </c:pt>
                <c:pt idx="11">
                  <c:v>2600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96-4C43-A700-EEEE859EA224}"/>
            </c:ext>
          </c:extLst>
        </c:ser>
        <c:ser>
          <c:idx val="1"/>
          <c:order val="1"/>
          <c:tx>
            <c:strRef>
              <c:f>Sheet1!$AB$2</c:f>
              <c:strCache>
                <c:ptCount val="1"/>
                <c:pt idx="0">
                  <c:v>Full Name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4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5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</a:schemeClr>
                  </a:gs>
                  <a:gs pos="0">
                    <a:schemeClr val="accent6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6"/>
            <c:bubble3D val="0"/>
            <c:spPr>
              <a:gradFill>
                <a:gsLst>
                  <a:gs pos="100000">
                    <a:schemeClr val="accent1">
                      <a:lumMod val="60000"/>
                      <a:lumMod val="60000"/>
                      <a:lumOff val="40000"/>
                    </a:schemeClr>
                  </a:gs>
                  <a:gs pos="0">
                    <a:schemeClr val="accent1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7"/>
            <c:bubble3D val="0"/>
            <c:spPr>
              <a:gradFill>
                <a:gsLst>
                  <a:gs pos="100000">
                    <a:schemeClr val="accent2">
                      <a:lumMod val="60000"/>
                      <a:lumMod val="60000"/>
                      <a:lumOff val="40000"/>
                    </a:schemeClr>
                  </a:gs>
                  <a:gs pos="0">
                    <a:schemeClr val="accent2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8"/>
            <c:bubble3D val="0"/>
            <c:spPr>
              <a:gradFill>
                <a:gsLst>
                  <a:gs pos="100000">
                    <a:schemeClr val="accent3">
                      <a:lumMod val="60000"/>
                      <a:lumMod val="60000"/>
                      <a:lumOff val="40000"/>
                    </a:schemeClr>
                  </a:gs>
                  <a:gs pos="0">
                    <a:schemeClr val="accent3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9"/>
            <c:bubble3D val="0"/>
            <c:spPr>
              <a:gradFill>
                <a:gsLst>
                  <a:gs pos="100000">
                    <a:schemeClr val="accent4">
                      <a:lumMod val="60000"/>
                      <a:lumMod val="60000"/>
                      <a:lumOff val="40000"/>
                    </a:schemeClr>
                  </a:gs>
                  <a:gs pos="0">
                    <a:schemeClr val="accent4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10"/>
            <c:bubble3D val="0"/>
            <c:spPr>
              <a:gradFill>
                <a:gsLst>
                  <a:gs pos="100000">
                    <a:schemeClr val="accent5">
                      <a:lumMod val="60000"/>
                      <a:lumMod val="60000"/>
                      <a:lumOff val="40000"/>
                    </a:schemeClr>
                  </a:gs>
                  <a:gs pos="0">
                    <a:schemeClr val="accent5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dPt>
            <c:idx val="11"/>
            <c:bubble3D val="0"/>
            <c:spPr>
              <a:gradFill>
                <a:gsLst>
                  <a:gs pos="100000">
                    <a:schemeClr val="accent6">
                      <a:lumMod val="60000"/>
                      <a:lumMod val="60000"/>
                      <a:lumOff val="40000"/>
                    </a:schemeClr>
                  </a:gs>
                  <a:gs pos="0">
                    <a:schemeClr val="accent6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</c:dPt>
          <c:val>
            <c:numRef>
              <c:f>Sheet1!$AB$3:$AB$14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96-4C43-A700-EEEE859EA2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7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9</xdr:col>
      <xdr:colOff>444500</xdr:colOff>
      <xdr:row>14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6AC213-9FE8-355B-409A-A86EB5DEE3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633540</xdr:colOff>
      <xdr:row>22</xdr:row>
      <xdr:rowOff>146560</xdr:rowOff>
    </xdr:from>
    <xdr:to>
      <xdr:col>21</xdr:col>
      <xdr:colOff>364943</xdr:colOff>
      <xdr:row>41</xdr:row>
      <xdr:rowOff>131380</xdr:rowOff>
    </xdr:to>
    <xdr:graphicFrame macro="[0]!Chart1_Click">
      <xdr:nvGraphicFramePr>
        <xdr:cNvPr id="2" name="Chart 1">
          <a:extLst>
            <a:ext uri="{FF2B5EF4-FFF2-40B4-BE49-F238E27FC236}">
              <a16:creationId xmlns:a16="http://schemas.microsoft.com/office/drawing/2014/main" id="{613D8A3A-F46E-0061-2E98-8DC1347415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348886</xdr:colOff>
      <xdr:row>23</xdr:row>
      <xdr:rowOff>131379</xdr:rowOff>
    </xdr:from>
    <xdr:to>
      <xdr:col>9</xdr:col>
      <xdr:colOff>58391</xdr:colOff>
      <xdr:row>42</xdr:row>
      <xdr:rowOff>87586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40557F9-BCA4-086B-5602-4292C331F4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122620</xdr:colOff>
      <xdr:row>15</xdr:row>
      <xdr:rowOff>117365</xdr:rowOff>
    </xdr:from>
    <xdr:to>
      <xdr:col>28</xdr:col>
      <xdr:colOff>534276</xdr:colOff>
      <xdr:row>30</xdr:row>
      <xdr:rowOff>174588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9F5D42-CCC3-18BC-5857-8CC1E9F87F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[BTECH-036-2023-24] DUDHAT AYUSH HITESHKUMAR" id="{4345F8DC-E150-A44A-89C2-0D4EAC6036D5}" userId="S::DUDHAT.23FE10CDS00293@muj.manipal.edu::4535b5e5-ff2f-49c3-bae2-03934c4be39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PPLE" refreshedDate="46229.788862152775" createdVersion="8" refreshedVersion="8" minRefreshableVersion="3" recordCount="12" xr:uid="{1E6120FD-99F1-3C46-9449-0A4C2058F4E5}">
  <cacheSource type="worksheet">
    <worksheetSource ref="AA2:AB14" sheet="Sheet1"/>
  </cacheSource>
  <cacheFields count="2">
    <cacheField name="Avg Sal" numFmtId="2">
      <sharedItems containsSemiMixedTypes="0" containsString="0" containsNumber="1" containsInteger="1" minValue="1500" maxValue="2600" count="12">
        <n v="1500"/>
        <n v="1600"/>
        <n v="1700"/>
        <n v="1800"/>
        <n v="1900"/>
        <n v="2000"/>
        <n v="2100"/>
        <n v="2200"/>
        <n v="2300"/>
        <n v="2400"/>
        <n v="2500"/>
        <n v="2600"/>
      </sharedItems>
    </cacheField>
    <cacheField name="Full Name" numFmtId="0">
      <sharedItems count="6">
        <s v="A  X"/>
        <s v="ghg  hg"/>
        <s v="B  Y"/>
        <s v="ghg  hggh"/>
        <s v="c  v"/>
        <s v="k  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PPLE" refreshedDate="46229.792521412041" createdVersion="8" refreshedVersion="8" minRefreshableVersion="3" recordCount="13" xr:uid="{D8302F20-2414-AC4D-A193-83A60C41FF56}">
  <cacheSource type="worksheet">
    <worksheetSource name="Table1"/>
  </cacheSource>
  <cacheFields count="11">
    <cacheField name="Column1" numFmtId="0">
      <sharedItems containsMixedTypes="1" containsNumber="1" containsInteger="1" minValue="1" maxValue="12"/>
    </cacheField>
    <cacheField name="Column2" numFmtId="0">
      <sharedItems count="6">
        <s v="First Nmae"/>
        <s v="A"/>
        <s v="ghg"/>
        <s v="B"/>
        <s v="c"/>
        <s v="k"/>
      </sharedItems>
    </cacheField>
    <cacheField name="Column3" numFmtId="0">
      <sharedItems/>
    </cacheField>
    <cacheField name="Column4" numFmtId="0">
      <sharedItems containsNonDate="0" containsString="0" containsBlank="1"/>
    </cacheField>
    <cacheField name="Column5" numFmtId="0">
      <sharedItems containsDate="1" containsMixedTypes="1" minDate="1900-01-22T00:00:00" maxDate="1900-02-03T00:00:00"/>
    </cacheField>
    <cacheField name="Column6" numFmtId="0">
      <sharedItems containsMixedTypes="1" containsNumber="1" containsInteger="1" minValue="1500" maxValue="2600"/>
    </cacheField>
    <cacheField name="Column7" numFmtId="0">
      <sharedItems containsMixedTypes="1" containsNumber="1" containsInteger="1" minValue="1500" maxValue="2600"/>
    </cacheField>
    <cacheField name="Column8" numFmtId="0">
      <sharedItems containsMixedTypes="1" containsNumber="1" containsInteger="1" minValue="1500" maxValue="2600"/>
    </cacheField>
    <cacheField name="Column9" numFmtId="0">
      <sharedItems containsMixedTypes="1" containsNumber="1" containsInteger="1" minValue="4500" maxValue="7800"/>
    </cacheField>
    <cacheField name="Column10" numFmtId="0">
      <sharedItems containsMixedTypes="1" containsNumber="1" containsInteger="1" minValue="1500" maxValue="2600"/>
    </cacheField>
    <cacheField name="Column11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</r>
  <r>
    <x v="1"/>
    <x v="1"/>
  </r>
  <r>
    <x v="2"/>
    <x v="0"/>
  </r>
  <r>
    <x v="3"/>
    <x v="2"/>
  </r>
  <r>
    <x v="4"/>
    <x v="3"/>
  </r>
  <r>
    <x v="5"/>
    <x v="4"/>
  </r>
  <r>
    <x v="6"/>
    <x v="0"/>
  </r>
  <r>
    <x v="7"/>
    <x v="5"/>
  </r>
  <r>
    <x v="8"/>
    <x v="0"/>
  </r>
  <r>
    <x v="9"/>
    <x v="2"/>
  </r>
  <r>
    <x v="10"/>
    <x v="0"/>
  </r>
  <r>
    <x v="11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s v="Sno"/>
    <x v="0"/>
    <s v="Last Name"/>
    <m/>
    <s v="DOJ"/>
    <s v="Sal-Jan"/>
    <s v="Sal-Feb"/>
    <s v="Sal-Mar"/>
    <s v="Sal Total"/>
    <s v="Avg Sal"/>
    <s v="Full Name"/>
  </r>
  <r>
    <n v="1"/>
    <x v="1"/>
    <s v="X"/>
    <m/>
    <d v="1900-01-22T00:00:00"/>
    <n v="1500"/>
    <n v="1500"/>
    <n v="1500"/>
    <n v="4500"/>
    <n v="1500"/>
    <s v="A  X"/>
  </r>
  <r>
    <n v="2"/>
    <x v="2"/>
    <s v="hg"/>
    <m/>
    <d v="1900-01-23T00:00:00"/>
    <n v="1600"/>
    <n v="1600"/>
    <n v="1600"/>
    <n v="4800"/>
    <n v="1600"/>
    <s v="ghg  hg"/>
  </r>
  <r>
    <n v="3"/>
    <x v="1"/>
    <s v="X"/>
    <m/>
    <d v="1900-01-24T00:00:00"/>
    <n v="1700"/>
    <n v="1700"/>
    <n v="1700"/>
    <n v="5100"/>
    <n v="1700"/>
    <s v="A  X"/>
  </r>
  <r>
    <n v="4"/>
    <x v="3"/>
    <s v="Y"/>
    <m/>
    <d v="1900-01-25T00:00:00"/>
    <n v="1800"/>
    <n v="1800"/>
    <n v="1800"/>
    <n v="5400"/>
    <n v="1800"/>
    <s v="B  Y"/>
  </r>
  <r>
    <n v="5"/>
    <x v="2"/>
    <s v="hggh"/>
    <m/>
    <d v="1900-01-26T00:00:00"/>
    <n v="1900"/>
    <n v="1900"/>
    <n v="1900"/>
    <n v="5700"/>
    <n v="1900"/>
    <s v="ghg  hggh"/>
  </r>
  <r>
    <n v="6"/>
    <x v="4"/>
    <s v="v"/>
    <m/>
    <d v="1900-01-27T00:00:00"/>
    <n v="2000"/>
    <n v="2000"/>
    <n v="2000"/>
    <n v="6000"/>
    <n v="2000"/>
    <s v="c  v"/>
  </r>
  <r>
    <n v="7"/>
    <x v="1"/>
    <s v="X"/>
    <m/>
    <d v="1900-01-28T00:00:00"/>
    <n v="2100"/>
    <n v="2100"/>
    <n v="2100"/>
    <n v="6300"/>
    <n v="2100"/>
    <s v="A  X"/>
  </r>
  <r>
    <n v="8"/>
    <x v="5"/>
    <s v="Y"/>
    <m/>
    <d v="1900-01-29T00:00:00"/>
    <n v="2200"/>
    <n v="2200"/>
    <n v="2200"/>
    <n v="6600"/>
    <n v="2200"/>
    <s v="k  Y"/>
  </r>
  <r>
    <n v="9"/>
    <x v="1"/>
    <s v="X"/>
    <m/>
    <d v="1900-01-30T00:00:00"/>
    <n v="2300"/>
    <n v="2300"/>
    <n v="2300"/>
    <n v="6900"/>
    <n v="2300"/>
    <s v="A  X"/>
  </r>
  <r>
    <n v="10"/>
    <x v="3"/>
    <s v="Y"/>
    <m/>
    <d v="1900-01-31T00:00:00"/>
    <n v="2400"/>
    <n v="2400"/>
    <n v="2400"/>
    <n v="7200"/>
    <n v="2400"/>
    <s v="B  Y"/>
  </r>
  <r>
    <n v="11"/>
    <x v="1"/>
    <s v="X"/>
    <m/>
    <d v="1900-02-01T00:00:00"/>
    <n v="2500"/>
    <n v="2500"/>
    <n v="2500"/>
    <n v="7500"/>
    <n v="2500"/>
    <s v="A  X"/>
  </r>
  <r>
    <n v="12"/>
    <x v="3"/>
    <s v="Y"/>
    <m/>
    <d v="1900-02-02T00:00:00"/>
    <n v="2600"/>
    <n v="2600"/>
    <n v="2600"/>
    <n v="7800"/>
    <n v="2600"/>
    <s v="B  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FA6F72-851F-AE4F-BD1A-ECCEC263B233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7" firstHeaderRow="1" firstDataRow="2" firstDataCol="1"/>
  <pivotFields count="2">
    <pivotField axis="axisRow" numFmtId="2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Col" showAll="0">
      <items count="7">
        <item x="0"/>
        <item x="2"/>
        <item x="4"/>
        <item x="1"/>
        <item x="3"/>
        <item x="5"/>
        <item t="default"/>
      </items>
    </pivotField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88B321-F2D6-4B43-A0B4-46F838A82FEF}" name="PivotTable6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" firstHeaderRow="0" firstDataRow="0" firstDataCol="0" rowPageCount="1" colPageCount="1"/>
  <pivotFields count="11">
    <pivotField showAll="0"/>
    <pivotField axis="axisPage" showAll="0">
      <items count="7">
        <item x="1"/>
        <item x="3"/>
        <item x="4"/>
        <item x="0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90AB8F-5E94-8141-9A15-A5C03CA2EEB0}" name="Table1" displayName="Table1" ref="A2:L15" totalsRowShown="0" headerRowBorderDxfId="20" tableBorderDxfId="21" totalsRowBorderDxfId="19">
  <autoFilter ref="A2:L15" xr:uid="{4890AB8F-5E94-8141-9A15-A5C03CA2EEB0}"/>
  <tableColumns count="12">
    <tableColumn id="1" xr3:uid="{83FAB420-09E3-4946-A54F-7BEB37205C54}" name="Column1" dataDxfId="18"/>
    <tableColumn id="2" xr3:uid="{9525A124-35F8-CE47-B091-51D4F1F7BE37}" name="Column2" dataDxfId="17"/>
    <tableColumn id="3" xr3:uid="{30657457-B4E0-D84A-8FC4-728FE95F70A0}" name="Column3" dataDxfId="16"/>
    <tableColumn id="4" xr3:uid="{8B82043D-8611-2C44-AFE7-009A93D6FED9}" name="Column4" dataDxfId="15"/>
    <tableColumn id="5" xr3:uid="{70F5AED1-9DFC-EB49-ADA0-35FF2152CE0A}" name="Column5" dataDxfId="14"/>
    <tableColumn id="6" xr3:uid="{538AD498-8499-4543-B773-A1000636000E}" name="Column6" dataDxfId="13"/>
    <tableColumn id="7" xr3:uid="{5240A1DB-DFDE-F640-9A4C-49D03B35AB86}" name="Column7" dataDxfId="12"/>
    <tableColumn id="8" xr3:uid="{0166B8A7-22CA-6344-94FC-B2CC5926BB84}" name="Column8" dataDxfId="11"/>
    <tableColumn id="9" xr3:uid="{329BE943-F433-8F48-90E3-1C53E049088B}" name="Column9" dataDxfId="10">
      <calculatedColumnFormula>SUM(F3+G3+H3)</calculatedColumnFormula>
    </tableColumn>
    <tableColumn id="10" xr3:uid="{C1CB1439-25DA-784F-BD26-296D7ACBF756}" name="Column10" dataDxfId="9">
      <calculatedColumnFormula>AVERAGE(F3:H3)</calculatedColumnFormula>
    </tableColumn>
    <tableColumn id="11" xr3:uid="{EB12A6BE-3C5A-3440-AE13-4066A2489121}" name="Column11" dataDxfId="8">
      <calculatedColumnFormula>CONCATENATE(B3,"  ",C3)</calculatedColumnFormula>
    </tableColumn>
    <tableColumn id="12" xr3:uid="{E4BDC5FC-D539-C341-9C86-C64B7529797A}" name="Column12" dataDxfId="7">
      <calculatedColumnFormula>IF(Table1[[#This Row],[Column10]]&gt;1800,"Good","Bad")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2C373F5-B37C-114C-8AD1-9DDD8FCB68A0}" name="Table3" displayName="Table3" ref="R3:S12" totalsRowShown="0">
  <autoFilter ref="R3:S12" xr:uid="{12C373F5-B37C-114C-8AD1-9DDD8FCB68A0}"/>
  <tableColumns count="2">
    <tableColumn id="1" xr3:uid="{2663761A-4D13-3147-AC18-434B7D24A41D}" name="Column1"/>
    <tableColumn id="2" xr3:uid="{F13877FD-E2DB-9747-ACAE-BE0D0DEFBD96}" name="Column2"/>
  </tableColumns>
  <tableStyleInfo name="TableStyleLight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D095469-CACB-9E42-8D61-93231A304ABC}" name="Table4" displayName="Table4" ref="U4:V12" totalsRowShown="0">
  <autoFilter ref="U4:V12" xr:uid="{8D095469-CACB-9E42-8D61-93231A304ABC}"/>
  <tableColumns count="2">
    <tableColumn id="1" xr3:uid="{870B5AFE-C976-E443-A7A5-0E35921AB791}" name="Column1"/>
    <tableColumn id="2" xr3:uid="{6FBD23C5-5218-BB47-BAF6-798C1D853532}" name="Column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567F3B-4F17-E14B-99AB-98197F28EF0D}" name="Table5" displayName="Table5" ref="M4:P9" totalsRowShown="0" tableBorderDxfId="0">
  <autoFilter ref="M4:P9" xr:uid="{BE567F3B-4F17-E14B-99AB-98197F28EF0D}"/>
  <tableColumns count="4">
    <tableColumn id="1" xr3:uid="{2E8124BF-9EED-0049-9B4E-570F10E09411}" name="Column1"/>
    <tableColumn id="2" xr3:uid="{C7E797B1-61EB-9947-906E-1E08B17CDF72}" name="Column2">
      <calculatedColumnFormula>ROUND(M5,0)</calculatedColumnFormula>
    </tableColumn>
    <tableColumn id="3" xr3:uid="{D016D1F3-418A-D04A-A94D-0A33AB19F4BC}" name="Column3">
      <calculatedColumnFormula>ROUNDUP(M5,0)</calculatedColumnFormula>
    </tableColumn>
    <tableColumn id="4" xr3:uid="{5BAB51DE-97D6-F547-8942-1C58D61F891A}" name="Column4">
      <calculatedColumnFormula>+ROUNDDOWN(M5,0)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2" dT="2026-07-26T06:16:07.28" personId="{4345F8DC-E150-A44A-89C2-0D4EAC6036D5}" id="{E95F26E8-B827-0B46-A832-A8E74495CF10}">
    <text xml:space="preserve">Not true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table" Target="../tables/table1.xml"/><Relationship Id="rId7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AD18-1939-3844-8744-1E3645F16652}">
  <dimension ref="A3:H17"/>
  <sheetViews>
    <sheetView workbookViewId="0">
      <selection activeCell="C5" sqref="C5"/>
    </sheetView>
  </sheetViews>
  <sheetFormatPr baseColWidth="10" defaultRowHeight="16" x14ac:dyDescent="0.2"/>
  <cols>
    <col min="1" max="1" width="13" bestFit="1" customWidth="1"/>
    <col min="2" max="2" width="16" bestFit="1" customWidth="1"/>
    <col min="3" max="3" width="4" bestFit="1" customWidth="1"/>
    <col min="4" max="4" width="3.6640625" bestFit="1" customWidth="1"/>
    <col min="5" max="5" width="6.83203125" bestFit="1" customWidth="1"/>
    <col min="6" max="6" width="8.83203125" bestFit="1" customWidth="1"/>
    <col min="7" max="7" width="3.83203125" bestFit="1" customWidth="1"/>
    <col min="8" max="8" width="10.5" bestFit="1" customWidth="1"/>
  </cols>
  <sheetData>
    <row r="3" spans="1:8" x14ac:dyDescent="0.2">
      <c r="B3" s="17" t="s">
        <v>54</v>
      </c>
    </row>
    <row r="4" spans="1:8" x14ac:dyDescent="0.2">
      <c r="A4" s="17" t="s">
        <v>55</v>
      </c>
      <c r="B4" t="s">
        <v>48</v>
      </c>
      <c r="C4" t="s">
        <v>50</v>
      </c>
      <c r="D4" t="s">
        <v>52</v>
      </c>
      <c r="E4" t="s">
        <v>49</v>
      </c>
      <c r="F4" t="s">
        <v>51</v>
      </c>
      <c r="G4" t="s">
        <v>53</v>
      </c>
      <c r="H4" t="s">
        <v>56</v>
      </c>
    </row>
    <row r="5" spans="1:8" x14ac:dyDescent="0.2">
      <c r="A5" s="18">
        <v>1500</v>
      </c>
    </row>
    <row r="6" spans="1:8" x14ac:dyDescent="0.2">
      <c r="A6" s="18">
        <v>1600</v>
      </c>
    </row>
    <row r="7" spans="1:8" x14ac:dyDescent="0.2">
      <c r="A7" s="18">
        <v>1700</v>
      </c>
    </row>
    <row r="8" spans="1:8" x14ac:dyDescent="0.2">
      <c r="A8" s="18">
        <v>1800</v>
      </c>
    </row>
    <row r="9" spans="1:8" x14ac:dyDescent="0.2">
      <c r="A9" s="18">
        <v>1900</v>
      </c>
    </row>
    <row r="10" spans="1:8" x14ac:dyDescent="0.2">
      <c r="A10" s="18">
        <v>2000</v>
      </c>
    </row>
    <row r="11" spans="1:8" x14ac:dyDescent="0.2">
      <c r="A11" s="18">
        <v>2100</v>
      </c>
    </row>
    <row r="12" spans="1:8" x14ac:dyDescent="0.2">
      <c r="A12" s="18">
        <v>2200</v>
      </c>
    </row>
    <row r="13" spans="1:8" x14ac:dyDescent="0.2">
      <c r="A13" s="18">
        <v>2300</v>
      </c>
    </row>
    <row r="14" spans="1:8" x14ac:dyDescent="0.2">
      <c r="A14" s="18">
        <v>2400</v>
      </c>
    </row>
    <row r="15" spans="1:8" x14ac:dyDescent="0.2">
      <c r="A15" s="18">
        <v>2500</v>
      </c>
    </row>
    <row r="16" spans="1:8" x14ac:dyDescent="0.2">
      <c r="A16" s="18">
        <v>2600</v>
      </c>
    </row>
    <row r="17" spans="1:1" x14ac:dyDescent="0.2">
      <c r="A17" s="18" t="s">
        <v>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B7524-11DB-7040-A638-1497BB999EB6}">
  <dimension ref="A1:B1"/>
  <sheetViews>
    <sheetView workbookViewId="0"/>
  </sheetViews>
  <sheetFormatPr baseColWidth="10" defaultRowHeight="16" x14ac:dyDescent="0.2"/>
  <cols>
    <col min="1" max="1" width="8.5" bestFit="1" customWidth="1"/>
    <col min="2" max="2" width="7" bestFit="1" customWidth="1"/>
  </cols>
  <sheetData>
    <row r="1" spans="1:2" x14ac:dyDescent="0.2">
      <c r="A1" s="17" t="s">
        <v>59</v>
      </c>
      <c r="B1" t="s">
        <v>57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3EF1-A135-7140-898B-D14C00F9AA39}">
  <dimension ref="A1:AE40"/>
  <sheetViews>
    <sheetView tabSelected="1" zoomScale="87" workbookViewId="0">
      <selection activeCell="O14" sqref="O14"/>
    </sheetView>
  </sheetViews>
  <sheetFormatPr baseColWidth="10" defaultRowHeight="16" x14ac:dyDescent="0.2"/>
  <cols>
    <col min="5" max="5" width="26.33203125" bestFit="1" customWidth="1"/>
    <col min="10" max="10" width="11.6640625" customWidth="1"/>
    <col min="11" max="11" width="22.1640625" customWidth="1"/>
    <col min="12" max="12" width="11.1640625" bestFit="1" customWidth="1"/>
    <col min="13" max="13" width="12.1640625" bestFit="1" customWidth="1"/>
  </cols>
  <sheetData>
    <row r="1" spans="1:31" ht="16" customHeight="1" thickBot="1" x14ac:dyDescent="0.25">
      <c r="A1" s="10" t="s">
        <v>17</v>
      </c>
      <c r="B1" s="10"/>
      <c r="C1" s="10"/>
      <c r="D1" s="10"/>
      <c r="E1" s="10"/>
      <c r="F1" s="10"/>
      <c r="G1" s="10"/>
      <c r="H1" s="10"/>
      <c r="I1" s="10"/>
      <c r="J1" s="10"/>
      <c r="K1" s="10"/>
      <c r="Y1" s="3" t="s">
        <v>1</v>
      </c>
      <c r="Z1" t="s">
        <v>47</v>
      </c>
    </row>
    <row r="2" spans="1:31" ht="27" customHeight="1" thickBot="1" x14ac:dyDescent="0.4">
      <c r="A2" s="30" t="s">
        <v>58</v>
      </c>
      <c r="B2" s="30" t="s">
        <v>59</v>
      </c>
      <c r="C2" s="30" t="s">
        <v>60</v>
      </c>
      <c r="D2" s="30" t="s">
        <v>61</v>
      </c>
      <c r="E2" s="30" t="s">
        <v>62</v>
      </c>
      <c r="F2" s="30" t="s">
        <v>63</v>
      </c>
      <c r="G2" s="30" t="s">
        <v>64</v>
      </c>
      <c r="H2" s="30" t="s">
        <v>65</v>
      </c>
      <c r="I2" s="30" t="s">
        <v>66</v>
      </c>
      <c r="J2" s="30" t="s">
        <v>67</v>
      </c>
      <c r="K2" s="30" t="s">
        <v>68</v>
      </c>
      <c r="L2" s="30" t="s">
        <v>73</v>
      </c>
      <c r="M2" s="46" t="s">
        <v>19</v>
      </c>
      <c r="N2" s="47"/>
      <c r="O2" s="47"/>
      <c r="P2" s="48"/>
      <c r="U2" s="8" t="s">
        <v>42</v>
      </c>
      <c r="V2" s="8"/>
      <c r="W2" s="9"/>
      <c r="Y2" s="2" t="s">
        <v>9</v>
      </c>
      <c r="AA2" s="4" t="s">
        <v>8</v>
      </c>
      <c r="AB2" s="4" t="s">
        <v>13</v>
      </c>
      <c r="AE2" s="15"/>
    </row>
    <row r="3" spans="1:31" ht="16" customHeight="1" x14ac:dyDescent="0.2">
      <c r="A3" s="20" t="s">
        <v>0</v>
      </c>
      <c r="B3" s="3" t="s">
        <v>1</v>
      </c>
      <c r="C3" s="3" t="s">
        <v>2</v>
      </c>
      <c r="D3" s="3"/>
      <c r="E3" s="3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22" t="s">
        <v>13</v>
      </c>
      <c r="L3" s="33" t="str">
        <f>IF(Table1[[#This Row],[Column10]]&gt;1800,"Good","Bad")</f>
        <v>Good</v>
      </c>
      <c r="R3" t="s">
        <v>58</v>
      </c>
      <c r="S3" t="s">
        <v>59</v>
      </c>
      <c r="Y3" s="2" t="s">
        <v>36</v>
      </c>
      <c r="AA3" s="6">
        <f>AVERAGE(F4:H4)</f>
        <v>1500</v>
      </c>
      <c r="AB3" s="1" t="str">
        <f>CONCATENATE(B4,"  ",C4)</f>
        <v>A  X</v>
      </c>
    </row>
    <row r="4" spans="1:31" ht="16" customHeight="1" x14ac:dyDescent="0.2">
      <c r="A4" s="21">
        <v>1</v>
      </c>
      <c r="B4" s="2" t="s">
        <v>9</v>
      </c>
      <c r="C4" s="2" t="s">
        <v>11</v>
      </c>
      <c r="D4" s="2"/>
      <c r="E4" s="5">
        <v>23</v>
      </c>
      <c r="F4" s="6">
        <v>1500</v>
      </c>
      <c r="G4" s="6">
        <v>1500</v>
      </c>
      <c r="H4" s="6">
        <v>1500</v>
      </c>
      <c r="I4" s="6">
        <f t="shared" ref="I4:I15" si="0">SUM(F4+G4+H4)</f>
        <v>4500</v>
      </c>
      <c r="J4" s="6">
        <f>AVERAGE(F4:H4)</f>
        <v>1500</v>
      </c>
      <c r="K4" s="23" t="str">
        <f t="shared" ref="K4:K15" si="1">CONCATENATE(B4,"  ",C4)</f>
        <v>A  X</v>
      </c>
      <c r="L4" s="45" t="str">
        <f>IF(Table1[[#This Row],[Column10]]&gt;1800,"Good","Bad")</f>
        <v>Bad</v>
      </c>
      <c r="M4" t="s">
        <v>58</v>
      </c>
      <c r="N4" t="s">
        <v>59</v>
      </c>
      <c r="O4" t="s">
        <v>60</v>
      </c>
      <c r="P4" t="s">
        <v>61</v>
      </c>
      <c r="R4" t="s">
        <v>20</v>
      </c>
      <c r="S4" t="s">
        <v>29</v>
      </c>
      <c r="U4" t="s">
        <v>58</v>
      </c>
      <c r="V4" t="s">
        <v>59</v>
      </c>
      <c r="Y4" s="2" t="s">
        <v>9</v>
      </c>
      <c r="AA4" s="6">
        <f>AVERAGE(F5:H5)</f>
        <v>1600</v>
      </c>
      <c r="AB4" s="1" t="str">
        <f>CONCATENATE(B5,"  ",C5)</f>
        <v>ghg  hg</v>
      </c>
    </row>
    <row r="5" spans="1:31" ht="16" customHeight="1" x14ac:dyDescent="0.2">
      <c r="A5" s="21">
        <v>2</v>
      </c>
      <c r="B5" s="2" t="s">
        <v>36</v>
      </c>
      <c r="C5" s="2" t="s">
        <v>37</v>
      </c>
      <c r="D5" s="2"/>
      <c r="E5" s="5">
        <v>24</v>
      </c>
      <c r="F5" s="6">
        <v>1600</v>
      </c>
      <c r="G5" s="6">
        <v>1600</v>
      </c>
      <c r="H5" s="6">
        <v>1600</v>
      </c>
      <c r="I5" s="6">
        <f t="shared" si="0"/>
        <v>4800</v>
      </c>
      <c r="J5" s="6">
        <f t="shared" ref="J5:J15" si="2">AVERAGE(F5:H5)</f>
        <v>1600</v>
      </c>
      <c r="K5" s="23" t="str">
        <f t="shared" si="1"/>
        <v>ghg  hg</v>
      </c>
      <c r="L5" s="45" t="str">
        <f>IF(Table1[[#This Row],[Column10]]&gt;1800,"Good","Bad")</f>
        <v>Bad</v>
      </c>
      <c r="M5">
        <v>1.004</v>
      </c>
      <c r="N5">
        <f>ROUND(M5,0)</f>
        <v>1</v>
      </c>
      <c r="O5">
        <f>ROUNDUP(M5,0)</f>
        <v>2</v>
      </c>
      <c r="P5">
        <f>+ROUNDDOWN(M5,0)</f>
        <v>1</v>
      </c>
      <c r="R5" t="s">
        <v>21</v>
      </c>
      <c r="S5" t="s">
        <v>30</v>
      </c>
      <c r="U5" t="s">
        <v>43</v>
      </c>
      <c r="V5" t="s">
        <v>44</v>
      </c>
      <c r="Y5" s="2" t="s">
        <v>10</v>
      </c>
      <c r="AA5" s="6">
        <f>AVERAGE(F6:H6)</f>
        <v>1700</v>
      </c>
      <c r="AB5" s="1" t="str">
        <f>CONCATENATE(B6,"  ",C6)</f>
        <v>A  X</v>
      </c>
    </row>
    <row r="6" spans="1:31" ht="16" customHeight="1" x14ac:dyDescent="0.2">
      <c r="A6" s="21">
        <v>3</v>
      </c>
      <c r="B6" s="2" t="s">
        <v>9</v>
      </c>
      <c r="C6" s="2" t="s">
        <v>11</v>
      </c>
      <c r="D6" s="2"/>
      <c r="E6" s="5">
        <v>25</v>
      </c>
      <c r="F6" s="6">
        <v>1700</v>
      </c>
      <c r="G6" s="6">
        <v>1700</v>
      </c>
      <c r="H6" s="6">
        <v>1700</v>
      </c>
      <c r="I6" s="6">
        <f t="shared" si="0"/>
        <v>5100</v>
      </c>
      <c r="J6" s="6">
        <f t="shared" si="2"/>
        <v>1700</v>
      </c>
      <c r="K6" s="23" t="str">
        <f t="shared" si="1"/>
        <v>A  X</v>
      </c>
      <c r="L6" s="45" t="str">
        <f>IF(Table1[[#This Row],[Column10]]&gt;1800,"Good","Bad")</f>
        <v>Bad</v>
      </c>
      <c r="M6">
        <v>343.45600000000002</v>
      </c>
      <c r="N6">
        <f>ROUND(M6,0)</f>
        <v>343</v>
      </c>
      <c r="O6">
        <f>ROUNDUP(M6,0)</f>
        <v>344</v>
      </c>
      <c r="P6">
        <f>+ROUNDDOWN(M6,0)</f>
        <v>343</v>
      </c>
      <c r="R6" t="s">
        <v>22</v>
      </c>
      <c r="S6" t="s">
        <v>31</v>
      </c>
      <c r="U6" t="s">
        <v>45</v>
      </c>
      <c r="V6" t="s">
        <v>44</v>
      </c>
      <c r="Y6" s="2" t="s">
        <v>36</v>
      </c>
      <c r="AA6" s="6">
        <f>AVERAGE(F7:H7)</f>
        <v>1800</v>
      </c>
      <c r="AB6" s="1" t="str">
        <f>CONCATENATE(B7,"  ",C7)</f>
        <v>B  Y</v>
      </c>
    </row>
    <row r="7" spans="1:31" ht="16" customHeight="1" x14ac:dyDescent="0.2">
      <c r="A7" s="21">
        <v>4</v>
      </c>
      <c r="B7" s="2" t="s">
        <v>10</v>
      </c>
      <c r="C7" s="2" t="s">
        <v>12</v>
      </c>
      <c r="D7" s="2"/>
      <c r="E7" s="5">
        <v>26</v>
      </c>
      <c r="F7" s="6">
        <v>1800</v>
      </c>
      <c r="G7" s="6">
        <v>1800</v>
      </c>
      <c r="H7" s="6">
        <v>1800</v>
      </c>
      <c r="I7" s="6">
        <f t="shared" si="0"/>
        <v>5400</v>
      </c>
      <c r="J7" s="6">
        <f t="shared" si="2"/>
        <v>1800</v>
      </c>
      <c r="K7" s="23" t="str">
        <f t="shared" si="1"/>
        <v>B  Y</v>
      </c>
      <c r="L7" s="45" t="str">
        <f>IF(Table1[[#This Row],[Column10]]&gt;1800,"Good","Bad")</f>
        <v>Bad</v>
      </c>
      <c r="M7">
        <v>32.5</v>
      </c>
      <c r="N7">
        <f>ROUND(M7,0)</f>
        <v>33</v>
      </c>
      <c r="O7">
        <f>ROUNDUP(M7,0)</f>
        <v>33</v>
      </c>
      <c r="P7">
        <f>+ROUNDDOWN(M7,0)</f>
        <v>32</v>
      </c>
      <c r="R7" t="s">
        <v>23</v>
      </c>
      <c r="S7" t="s">
        <v>32</v>
      </c>
      <c r="U7" t="s">
        <v>43</v>
      </c>
      <c r="V7" t="s">
        <v>44</v>
      </c>
      <c r="Y7" s="2" t="s">
        <v>14</v>
      </c>
      <c r="AA7" s="6">
        <f>AVERAGE(F8:H8)</f>
        <v>1900</v>
      </c>
      <c r="AB7" s="1" t="str">
        <f>CONCATENATE(B8,"  ",C8)</f>
        <v>ghg  hggh</v>
      </c>
    </row>
    <row r="8" spans="1:31" ht="16" customHeight="1" x14ac:dyDescent="0.2">
      <c r="A8" s="21">
        <v>5</v>
      </c>
      <c r="B8" s="2" t="s">
        <v>36</v>
      </c>
      <c r="C8" s="2" t="s">
        <v>38</v>
      </c>
      <c r="D8" s="2"/>
      <c r="E8" s="5">
        <v>27</v>
      </c>
      <c r="F8" s="6">
        <v>1900</v>
      </c>
      <c r="G8" s="6">
        <v>1900</v>
      </c>
      <c r="H8" s="6">
        <v>1900</v>
      </c>
      <c r="I8" s="6">
        <f t="shared" si="0"/>
        <v>5700</v>
      </c>
      <c r="J8" s="6">
        <f t="shared" si="2"/>
        <v>1900</v>
      </c>
      <c r="K8" s="23" t="str">
        <f t="shared" si="1"/>
        <v>ghg  hggh</v>
      </c>
      <c r="L8" s="45" t="str">
        <f>IF(Table1[[#This Row],[Column10]]&gt;1800,"Good","Bad")</f>
        <v>Good</v>
      </c>
      <c r="M8">
        <v>22.893999999999998</v>
      </c>
      <c r="N8">
        <f>ROUND(M8,0)</f>
        <v>23</v>
      </c>
      <c r="O8">
        <f>ROUNDUP(M8,0)</f>
        <v>23</v>
      </c>
      <c r="P8">
        <f>+ROUNDDOWN(M8,0)</f>
        <v>22</v>
      </c>
      <c r="R8" t="s">
        <v>24</v>
      </c>
      <c r="S8" t="s">
        <v>33</v>
      </c>
      <c r="U8" t="s">
        <v>45</v>
      </c>
      <c r="V8" t="s">
        <v>44</v>
      </c>
      <c r="Y8" s="2" t="s">
        <v>9</v>
      </c>
      <c r="AA8" s="6">
        <f>AVERAGE(F9:H9)</f>
        <v>2000</v>
      </c>
      <c r="AB8" s="1" t="str">
        <f>CONCATENATE(B9,"  ",C9)</f>
        <v>c  v</v>
      </c>
    </row>
    <row r="9" spans="1:31" ht="16" customHeight="1" x14ac:dyDescent="0.2">
      <c r="A9" s="21">
        <v>6</v>
      </c>
      <c r="B9" s="2" t="s">
        <v>14</v>
      </c>
      <c r="C9" s="2" t="s">
        <v>15</v>
      </c>
      <c r="D9" s="2"/>
      <c r="E9" s="5">
        <v>28</v>
      </c>
      <c r="F9" s="6">
        <v>2000</v>
      </c>
      <c r="G9" s="6">
        <v>2000</v>
      </c>
      <c r="H9" s="6">
        <v>2000</v>
      </c>
      <c r="I9" s="6">
        <f t="shared" si="0"/>
        <v>6000</v>
      </c>
      <c r="J9" s="6">
        <f t="shared" si="2"/>
        <v>2000</v>
      </c>
      <c r="K9" s="24" t="str">
        <f t="shared" si="1"/>
        <v>c  v</v>
      </c>
      <c r="L9" s="45" t="str">
        <f>IF(Table1[[#This Row],[Column10]]&gt;1800,"Good","Bad")</f>
        <v>Good</v>
      </c>
      <c r="M9">
        <v>22.01</v>
      </c>
      <c r="N9">
        <f>ROUND(M9,0)</f>
        <v>22</v>
      </c>
      <c r="O9">
        <f>ROUNDUP(M9,0)</f>
        <v>23</v>
      </c>
      <c r="P9">
        <f>+ROUNDDOWN(M9,0)</f>
        <v>22</v>
      </c>
      <c r="R9" t="s">
        <v>25</v>
      </c>
      <c r="S9" t="s">
        <v>34</v>
      </c>
      <c r="U9" t="s">
        <v>43</v>
      </c>
      <c r="V9" t="s">
        <v>44</v>
      </c>
      <c r="Y9" s="2" t="s">
        <v>16</v>
      </c>
      <c r="AA9" s="6">
        <f>AVERAGE(F10:H10)</f>
        <v>2100</v>
      </c>
      <c r="AB9" s="1" t="str">
        <f>CONCATENATE(B10,"  ",C10)</f>
        <v>A  X</v>
      </c>
    </row>
    <row r="10" spans="1:31" ht="16" customHeight="1" x14ac:dyDescent="0.2">
      <c r="A10" s="21">
        <v>7</v>
      </c>
      <c r="B10" s="2" t="s">
        <v>9</v>
      </c>
      <c r="C10" s="2" t="s">
        <v>11</v>
      </c>
      <c r="D10" s="2"/>
      <c r="E10" s="5">
        <v>29</v>
      </c>
      <c r="F10" s="6">
        <v>2100</v>
      </c>
      <c r="G10" s="6">
        <v>2100</v>
      </c>
      <c r="H10" s="6">
        <v>2100</v>
      </c>
      <c r="I10" s="6">
        <f t="shared" si="0"/>
        <v>6300</v>
      </c>
      <c r="J10" s="6">
        <f t="shared" si="2"/>
        <v>2100</v>
      </c>
      <c r="K10" s="23" t="str">
        <f t="shared" si="1"/>
        <v>A  X</v>
      </c>
      <c r="L10" s="6" t="str">
        <f>IF(Table1[[#This Row],[Column10]]&gt;1800,"Good","Bad")</f>
        <v>Good</v>
      </c>
      <c r="R10" t="s">
        <v>26</v>
      </c>
      <c r="S10" t="s">
        <v>35</v>
      </c>
      <c r="U10" t="s">
        <v>45</v>
      </c>
      <c r="V10" t="s">
        <v>44</v>
      </c>
      <c r="Y10" s="2" t="s">
        <v>9</v>
      </c>
      <c r="AA10" s="6">
        <f>AVERAGE(F11:H11)</f>
        <v>2200</v>
      </c>
      <c r="AB10" s="1" t="str">
        <f>CONCATENATE(B11,"  ",C11)</f>
        <v>k  Y</v>
      </c>
    </row>
    <row r="11" spans="1:31" ht="16" customHeight="1" x14ac:dyDescent="0.2">
      <c r="A11" s="21">
        <v>8</v>
      </c>
      <c r="B11" s="2" t="s">
        <v>16</v>
      </c>
      <c r="C11" s="2" t="s">
        <v>12</v>
      </c>
      <c r="D11" s="2"/>
      <c r="E11" s="5">
        <v>30</v>
      </c>
      <c r="F11" s="6">
        <v>2200</v>
      </c>
      <c r="G11" s="6">
        <v>2200</v>
      </c>
      <c r="H11" s="6">
        <v>2200</v>
      </c>
      <c r="I11" s="6">
        <f t="shared" si="0"/>
        <v>6600</v>
      </c>
      <c r="J11" s="6">
        <f t="shared" si="2"/>
        <v>2200</v>
      </c>
      <c r="K11" s="23" t="str">
        <f t="shared" si="1"/>
        <v>k  Y</v>
      </c>
      <c r="L11" s="6" t="str">
        <f>IF(Table1[[#This Row],[Column10]]&gt;1800,"Good","Bad")</f>
        <v>Good</v>
      </c>
      <c r="R11" t="s">
        <v>27</v>
      </c>
      <c r="S11" t="s">
        <v>29</v>
      </c>
      <c r="U11" t="s">
        <v>43</v>
      </c>
      <c r="V11" t="s">
        <v>44</v>
      </c>
      <c r="Y11" s="2" t="s">
        <v>10</v>
      </c>
      <c r="AA11" s="6">
        <f>AVERAGE(F12:H12)</f>
        <v>2300</v>
      </c>
      <c r="AB11" s="1" t="str">
        <f>CONCATENATE(B12,"  ",C12)</f>
        <v>A  X</v>
      </c>
    </row>
    <row r="12" spans="1:31" ht="16" customHeight="1" x14ac:dyDescent="0.2">
      <c r="A12" s="21">
        <v>9</v>
      </c>
      <c r="B12" s="2" t="s">
        <v>9</v>
      </c>
      <c r="C12" s="2" t="s">
        <v>11</v>
      </c>
      <c r="D12" s="2"/>
      <c r="E12" s="5">
        <v>31</v>
      </c>
      <c r="F12" s="6">
        <v>2300</v>
      </c>
      <c r="G12" s="6">
        <v>2300</v>
      </c>
      <c r="H12" s="6">
        <v>2300</v>
      </c>
      <c r="I12" s="6">
        <f t="shared" si="0"/>
        <v>6900</v>
      </c>
      <c r="J12" s="6">
        <f t="shared" si="2"/>
        <v>2300</v>
      </c>
      <c r="K12" s="23" t="str">
        <f t="shared" si="1"/>
        <v>A  X</v>
      </c>
      <c r="L12" s="6" t="str">
        <f>IF(Table1[[#This Row],[Column10]]&gt;1800,"Good","Bad")</f>
        <v>Good</v>
      </c>
      <c r="R12" t="s">
        <v>28</v>
      </c>
      <c r="S12" t="s">
        <v>30</v>
      </c>
      <c r="U12" t="s">
        <v>45</v>
      </c>
      <c r="V12" t="s">
        <v>44</v>
      </c>
      <c r="Y12" s="2" t="s">
        <v>9</v>
      </c>
      <c r="AA12" s="6">
        <f>AVERAGE(F13:H13)</f>
        <v>2400</v>
      </c>
      <c r="AB12" s="1" t="str">
        <f>CONCATENATE(B13,"  ",C13)</f>
        <v>B  Y</v>
      </c>
    </row>
    <row r="13" spans="1:31" ht="16" customHeight="1" x14ac:dyDescent="0.2">
      <c r="A13" s="21">
        <v>10</v>
      </c>
      <c r="B13" s="2" t="s">
        <v>10</v>
      </c>
      <c r="C13" s="2" t="s">
        <v>12</v>
      </c>
      <c r="D13" s="2"/>
      <c r="E13" s="5">
        <v>32</v>
      </c>
      <c r="F13" s="6">
        <v>2400</v>
      </c>
      <c r="G13" s="6">
        <v>2400</v>
      </c>
      <c r="H13" s="6">
        <v>2400</v>
      </c>
      <c r="I13" s="6">
        <f t="shared" si="0"/>
        <v>7200</v>
      </c>
      <c r="J13" s="6">
        <f t="shared" si="2"/>
        <v>2400</v>
      </c>
      <c r="K13" s="23" t="str">
        <f t="shared" si="1"/>
        <v>B  Y</v>
      </c>
      <c r="L13" s="6" t="str">
        <f>IF(Table1[[#This Row],[Column10]]&gt;1800,"Good","Bad")</f>
        <v>Good</v>
      </c>
      <c r="Y13" s="2" t="s">
        <v>10</v>
      </c>
      <c r="AA13" s="6">
        <f>AVERAGE(F14:H14)</f>
        <v>2500</v>
      </c>
      <c r="AB13" s="1" t="str">
        <f>CONCATENATE(B14,"  ",C14)</f>
        <v>A  X</v>
      </c>
    </row>
    <row r="14" spans="1:31" ht="16" customHeight="1" x14ac:dyDescent="0.2">
      <c r="A14" s="21">
        <v>11</v>
      </c>
      <c r="B14" s="2" t="s">
        <v>9</v>
      </c>
      <c r="C14" s="2" t="s">
        <v>11</v>
      </c>
      <c r="D14" s="2"/>
      <c r="E14" s="5">
        <v>33</v>
      </c>
      <c r="F14" s="6">
        <v>2500</v>
      </c>
      <c r="G14" s="6">
        <v>2500</v>
      </c>
      <c r="H14" s="6">
        <v>2500</v>
      </c>
      <c r="I14" s="6">
        <f t="shared" si="0"/>
        <v>7500</v>
      </c>
      <c r="J14" s="6">
        <f t="shared" si="2"/>
        <v>2500</v>
      </c>
      <c r="K14" s="23" t="str">
        <f t="shared" si="1"/>
        <v>A  X</v>
      </c>
      <c r="L14" s="6" t="str">
        <f>IF(Table1[[#This Row],[Column10]]&gt;1800,"Good","Bad")</f>
        <v>Good</v>
      </c>
      <c r="AA14" s="6">
        <f>AVERAGE(F15:H15)</f>
        <v>2600</v>
      </c>
      <c r="AB14" s="1" t="str">
        <f>CONCATENATE(B15,"  ",C15)</f>
        <v>B  Y</v>
      </c>
    </row>
    <row r="15" spans="1:31" ht="16" customHeight="1" x14ac:dyDescent="0.2">
      <c r="A15" s="25">
        <v>12</v>
      </c>
      <c r="B15" s="26" t="s">
        <v>10</v>
      </c>
      <c r="C15" s="26" t="s">
        <v>12</v>
      </c>
      <c r="D15" s="26"/>
      <c r="E15" s="27">
        <v>34</v>
      </c>
      <c r="F15" s="28">
        <v>2600</v>
      </c>
      <c r="G15" s="28">
        <v>2600</v>
      </c>
      <c r="H15" s="28">
        <v>2600</v>
      </c>
      <c r="I15" s="28">
        <f t="shared" si="0"/>
        <v>7800</v>
      </c>
      <c r="J15" s="28">
        <f t="shared" si="2"/>
        <v>2600</v>
      </c>
      <c r="K15" s="29" t="str">
        <f t="shared" si="1"/>
        <v>B  Y</v>
      </c>
      <c r="L15" s="28" t="str">
        <f>IF(Table1[[#This Row],[Column10]]&gt;1800,"Good","Bad")</f>
        <v>Good</v>
      </c>
    </row>
    <row r="16" spans="1:31" ht="16" customHeight="1" x14ac:dyDescent="0.2">
      <c r="E16" s="11" t="s">
        <v>18</v>
      </c>
      <c r="F16" s="11"/>
      <c r="G16" s="16">
        <f t="shared" ref="G16:I16" si="3">SUM(G4:G15)</f>
        <v>24600</v>
      </c>
      <c r="H16" s="16">
        <f t="shared" si="3"/>
        <v>24600</v>
      </c>
      <c r="I16" s="16">
        <f t="shared" si="3"/>
        <v>73800</v>
      </c>
      <c r="J16" s="16">
        <f>SUM(J4:J15)</f>
        <v>24600</v>
      </c>
    </row>
    <row r="17" spans="1:13" ht="16" customHeight="1" x14ac:dyDescent="0.2">
      <c r="E17" s="31" t="s">
        <v>69</v>
      </c>
      <c r="F17" s="31"/>
      <c r="G17" s="19">
        <f>+COUNT(G4:G15)</f>
        <v>12</v>
      </c>
      <c r="H17" t="s">
        <v>70</v>
      </c>
      <c r="I17">
        <f>COUNTA(K4:K15)</f>
        <v>12</v>
      </c>
      <c r="K17" s="16">
        <f>J4+J5+J6+J7+J8+J9</f>
        <v>10500</v>
      </c>
      <c r="L17">
        <f>I16*J16</f>
        <v>1815480000</v>
      </c>
      <c r="M17">
        <f>L17/K17</f>
        <v>172902.85714285713</v>
      </c>
    </row>
    <row r="18" spans="1:13" ht="16" customHeight="1" x14ac:dyDescent="0.2">
      <c r="E18" s="32"/>
      <c r="F18" s="32" t="s">
        <v>71</v>
      </c>
      <c r="G18" s="18">
        <f>MIN(J4:J15)</f>
        <v>1500</v>
      </c>
      <c r="H18" t="s">
        <v>72</v>
      </c>
      <c r="I18" s="16">
        <f>MAX(J4:J15)</f>
        <v>2600</v>
      </c>
      <c r="K18" s="16"/>
    </row>
    <row r="19" spans="1:13" ht="16" customHeight="1" x14ac:dyDescent="0.2">
      <c r="E19" s="32"/>
      <c r="F19" s="32"/>
      <c r="G19" s="19"/>
      <c r="K19" s="16"/>
    </row>
    <row r="20" spans="1:13" ht="16" customHeight="1" x14ac:dyDescent="0.2">
      <c r="E20" s="11"/>
      <c r="F20" s="11"/>
    </row>
    <row r="21" spans="1:13" ht="18" customHeight="1" x14ac:dyDescent="0.3">
      <c r="A21" s="12" t="s">
        <v>46</v>
      </c>
      <c r="B21" s="13"/>
      <c r="C21" s="13"/>
      <c r="D21" s="13"/>
      <c r="E21" s="13"/>
      <c r="F21" s="13"/>
      <c r="G21" s="13"/>
      <c r="H21" s="13"/>
      <c r="I21" s="13"/>
    </row>
    <row r="22" spans="1:13" ht="16" customHeight="1" x14ac:dyDescent="0.2">
      <c r="A22" s="44"/>
      <c r="B22" s="35"/>
      <c r="C22" s="36"/>
      <c r="D22" s="37"/>
      <c r="E22" s="34"/>
      <c r="F22" s="38"/>
      <c r="G22" s="39"/>
      <c r="H22" s="40"/>
      <c r="I22" s="41"/>
      <c r="J22" s="42"/>
      <c r="K22" s="43"/>
    </row>
    <row r="23" spans="1:13" ht="16" customHeight="1" x14ac:dyDescent="0.2">
      <c r="A23" s="14"/>
      <c r="B23" s="14"/>
      <c r="C23" s="14"/>
      <c r="D23" s="14"/>
      <c r="E23" s="14"/>
      <c r="F23" s="14"/>
      <c r="G23" s="14"/>
      <c r="H23" s="14"/>
      <c r="I23" s="14"/>
    </row>
    <row r="24" spans="1:13" ht="16" customHeight="1" x14ac:dyDescent="0.2"/>
    <row r="25" spans="1:13" ht="16" customHeight="1" x14ac:dyDescent="0.2">
      <c r="H25" t="s">
        <v>39</v>
      </c>
    </row>
    <row r="26" spans="1:13" ht="16" customHeight="1" x14ac:dyDescent="0.2"/>
    <row r="27" spans="1:13" ht="16" customHeight="1" x14ac:dyDescent="0.2"/>
    <row r="28" spans="1:13" ht="16" customHeight="1" x14ac:dyDescent="0.2"/>
    <row r="29" spans="1:13" ht="16" customHeight="1" x14ac:dyDescent="0.2"/>
    <row r="30" spans="1:13" ht="16" customHeight="1" x14ac:dyDescent="0.2"/>
    <row r="31" spans="1:13" ht="16" customHeight="1" x14ac:dyDescent="0.2"/>
    <row r="32" spans="1:13" ht="16" customHeight="1" x14ac:dyDescent="0.2"/>
    <row r="33" ht="16" customHeight="1" x14ac:dyDescent="0.2"/>
    <row r="34" ht="16" customHeight="1" x14ac:dyDescent="0.2"/>
    <row r="35" ht="16" customHeight="1" x14ac:dyDescent="0.2"/>
    <row r="36" ht="16" customHeight="1" x14ac:dyDescent="0.2"/>
    <row r="37" ht="16" customHeight="1" x14ac:dyDescent="0.2"/>
    <row r="38" ht="16" customHeight="1" x14ac:dyDescent="0.2"/>
    <row r="39" ht="16" customHeight="1" x14ac:dyDescent="0.2"/>
    <row r="40" ht="16" customHeight="1" x14ac:dyDescent="0.2"/>
  </sheetData>
  <sortState xmlns:xlrd2="http://schemas.microsoft.com/office/spreadsheetml/2017/richdata2" ref="A4:K15">
    <sortCondition ref="A4:A15"/>
    <sortCondition ref="B4:B15"/>
    <sortCondition ref="C4:C15"/>
    <sortCondition ref="I4:I15"/>
  </sortState>
  <mergeCells count="6">
    <mergeCell ref="A21:I21"/>
    <mergeCell ref="A23:I23"/>
    <mergeCell ref="A1:K1"/>
    <mergeCell ref="E16:F16"/>
    <mergeCell ref="E17:F17"/>
    <mergeCell ref="E20:F20"/>
  </mergeCells>
  <phoneticPr fontId="4" type="noConversion"/>
  <conditionalFormatting sqref="I3:I1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5">
    <cfRule type="duplicateValues" dxfId="6" priority="7"/>
  </conditionalFormatting>
  <conditionalFormatting sqref="K9">
    <cfRule type="uniqueValues" dxfId="5" priority="6"/>
  </conditionalFormatting>
  <conditionalFormatting sqref="AB3:AB14">
    <cfRule type="duplicateValues" dxfId="4" priority="3"/>
  </conditionalFormatting>
  <conditionalFormatting sqref="AB8">
    <cfRule type="uniqueValues" dxfId="3" priority="2"/>
  </conditionalFormatting>
  <conditionalFormatting sqref="I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legacyDrawing r:id="rId2"/>
  <tableParts count="4"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56C16-0211-DB4D-A1BB-8E30E01C39E4}">
  <dimension ref="A1:B1"/>
  <sheetViews>
    <sheetView workbookViewId="0">
      <selection activeCell="B1" sqref="B1"/>
    </sheetView>
  </sheetViews>
  <sheetFormatPr baseColWidth="10" defaultRowHeight="16" x14ac:dyDescent="0.2"/>
  <sheetData>
    <row r="1" spans="1:2" x14ac:dyDescent="0.2">
      <c r="A1" s="7" t="s">
        <v>40</v>
      </c>
      <c r="B1" s="7" t="s">
        <v>41</v>
      </c>
    </row>
  </sheetData>
  <hyperlinks>
    <hyperlink ref="A1" location="Sheet1!A1" display="Sheet1!A1" xr:uid="{BFE0AEB2-6CA4-744D-8789-0748B34555EF}"/>
    <hyperlink ref="B1" location="Sheet1!B5" display="Sheet1!B5" xr:uid="{3812F398-A00E-BC4B-93B5-DF0E2A98620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Sheet3</vt:lpstr>
      <vt:lpstr>Sheet8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[BTECH-036-2023-24] DUDHAT AYUSH HITESHKUMAR</dc:creator>
  <cp:lastModifiedBy>[BTECH-036-2023-24] DUDHAT AYUSH HITESHKUMAR</cp:lastModifiedBy>
  <dcterms:created xsi:type="dcterms:W3CDTF">2026-07-25T13:47:54Z</dcterms:created>
  <dcterms:modified xsi:type="dcterms:W3CDTF">2026-07-27T04:55:13Z</dcterms:modified>
</cp:coreProperties>
</file>